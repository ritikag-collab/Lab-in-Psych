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Word Priming Task\data\"/>
    </mc:Choice>
  </mc:AlternateContent>
  <xr:revisionPtr revIDLastSave="0" documentId="13_ncr:9_{687EB5E3-C879-43EC-87AD-0D079B1988F1}" xr6:coauthVersionLast="47" xr6:coauthVersionMax="47" xr10:uidLastSave="{00000000-0000-0000-0000-000000000000}"/>
  <bookViews>
    <workbookView xWindow="-90" yWindow="0" windowWidth="9780" windowHeight="10170" activeTab="1" xr2:uid="{06670CC6-FEEB-4F0C-8EC8-4884093E63EA}"/>
  </bookViews>
  <sheets>
    <sheet name="P1_Word Priming Task_2025-10-16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K8" i="2" l="1"/>
  <c r="K7" i="2"/>
  <c r="K6" i="2"/>
</calcChain>
</file>

<file path=xl/sharedStrings.xml><?xml version="1.0" encoding="utf-8"?>
<sst xmlns="http://schemas.openxmlformats.org/spreadsheetml/2006/main" count="731" uniqueCount="160">
  <si>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</si>
  <si>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</si>
  <si>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</si>
  <si>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</si>
  <si>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</si>
  <si>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</si>
  <si>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</si>
  <si>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</si>
  <si>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</si>
  <si>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test_textbox.text</t>
  </si>
  <si>
    <t>test_mouse.x</t>
  </si>
  <si>
    <t>test_mouse.y</t>
  </si>
  <si>
    <t>test_mouse.leftButton</t>
  </si>
  <si>
    <t>test_mouse.midButton</t>
  </si>
  <si>
    <t>test_mouse.rightButton</t>
  </si>
  <si>
    <t>test_mouse.time</t>
  </si>
  <si>
    <t>test_mouse.clicked_name</t>
  </si>
  <si>
    <t>trials.thisRepN</t>
  </si>
  <si>
    <t>trials.thisTrialN</t>
  </si>
  <si>
    <t>trials.thisN</t>
  </si>
  <si>
    <t>trials.thisIndex</t>
  </si>
  <si>
    <t>test_trials.thisRepN</t>
  </si>
  <si>
    <t>test_trials.thisTrialN</t>
  </si>
  <si>
    <t>test_trials.thisN</t>
  </si>
  <si>
    <t>test_trials.thisIndex</t>
  </si>
  <si>
    <t>thisRow.t</t>
  </si>
  <si>
    <t>notes</t>
  </si>
  <si>
    <t>Welcome_Screen.started</t>
  </si>
  <si>
    <t>text_2.started</t>
  </si>
  <si>
    <t>Welcome_Screen.stopped</t>
  </si>
  <si>
    <t>Study_Phase.started</t>
  </si>
  <si>
    <t>StudyText.started</t>
  </si>
  <si>
    <t>Studyslider.started</t>
  </si>
  <si>
    <t>Study_Phase.stopped</t>
  </si>
  <si>
    <t>trials.Studyslider.response</t>
  </si>
  <si>
    <t>trials.Studyslider.rt</t>
  </si>
  <si>
    <t>Test_Phase.started</t>
  </si>
  <si>
    <t>TestText.started</t>
  </si>
  <si>
    <t>test_textbox.started</t>
  </si>
  <si>
    <t>submit_text.started</t>
  </si>
  <si>
    <t>test_mouse.started</t>
  </si>
  <si>
    <t>Test_Phase.stopped</t>
  </si>
  <si>
    <t>test_trials.test_textbox.text</t>
  </si>
  <si>
    <t>test_trials.test_mouse.x</t>
  </si>
  <si>
    <t>test_trials.test_mouse.y</t>
  </si>
  <si>
    <t>test_trials.test_mouse.leftButton</t>
  </si>
  <si>
    <t>test_trials.test_mouse.midButton</t>
  </si>
  <si>
    <t>test_trials.test_mouse.rightButton</t>
  </si>
  <si>
    <t>test_trials.test_mouse.time</t>
  </si>
  <si>
    <t>test_trials.test_mouse.clicked_name</t>
  </si>
  <si>
    <t>TestText.stopped</t>
  </si>
  <si>
    <t>Goodbye_Screen.started</t>
  </si>
  <si>
    <t>text.started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</si>
  <si>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</si>
  <si>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</si>
  <si>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</si>
  <si>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</si>
  <si>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</si>
  <si>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</si>
  <si>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</si>
  <si>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</si>
  <si>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</si>
  <si>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P1</t>
  </si>
  <si>
    <t>2025-10-16_13h38.19.910</t>
  </si>
  <si>
    <t>Word Priming Task</t>
  </si>
  <si>
    <t>2025.1.1</t>
  </si>
  <si>
    <t>2025-10-16 13h38.30.738370 +0530</t>
  </si>
  <si>
    <t>t-shirt</t>
  </si>
  <si>
    <t>cushion</t>
  </si>
  <si>
    <t>book</t>
  </si>
  <si>
    <t>marble</t>
  </si>
  <si>
    <t>board</t>
  </si>
  <si>
    <t>cruise</t>
  </si>
  <si>
    <t>phone</t>
  </si>
  <si>
    <t>poster</t>
  </si>
  <si>
    <t>laptop</t>
  </si>
  <si>
    <t>mouse</t>
  </si>
  <si>
    <t>case</t>
  </si>
  <si>
    <t>police</t>
  </si>
  <si>
    <t>keys</t>
  </si>
  <si>
    <t>chart</t>
  </si>
  <si>
    <t>pastry</t>
  </si>
  <si>
    <t>p_st_r</t>
  </si>
  <si>
    <t>old</t>
  </si>
  <si>
    <t>[np.float64(-0.4564814814814815), np.float64(0.037037037037037035), np.float64(0.0)]</t>
  </si>
  <si>
    <t>[np.float64(-0.2490740740740741), np.float64(-0.06574074074074074), np.float64(-0.30092592592592593)]</t>
  </si>
  <si>
    <t>[1, 1, 1]</t>
  </si>
  <si>
    <t>[0, 0, 0]</t>
  </si>
  <si>
    <t>[5.494960299984086, 6.429199699981837, 9.381782699987525]</t>
  </si>
  <si>
    <t>[None, None, 'submit_text']</t>
  </si>
  <si>
    <t>k_y_</t>
  </si>
  <si>
    <t>[np.float64(0.005555555555555556)]</t>
  </si>
  <si>
    <t>[np.float64(-0.2722222222222222)]</t>
  </si>
  <si>
    <t>[1]</t>
  </si>
  <si>
    <t>[0]</t>
  </si>
  <si>
    <t>[3.392525100003695]</t>
  </si>
  <si>
    <t>['submit_text']</t>
  </si>
  <si>
    <t>_o_rd</t>
  </si>
  <si>
    <t>boar</t>
  </si>
  <si>
    <t>[]</t>
  </si>
  <si>
    <t>_ou_se</t>
  </si>
  <si>
    <t>[np.float64(0.002777777777777778), np.float64(0.002777777777777778), np.float64(0.002777777777777778), np.float64(0.002777777777777778)]</t>
  </si>
  <si>
    <t>[np.float64(-0.2712962962962963), np.float64(-0.26944444444444443), np.float64(-0.26944444444444443), np.float64(-0.2898148148148148)]</t>
  </si>
  <si>
    <t>[1, 1, 1, 1]</t>
  </si>
  <si>
    <t>[0, 0, 0, 0]</t>
  </si>
  <si>
    <t>[2.7799223999900278, 3.479520599998068, 4.144681999983732, 4.7622308999998495]</t>
  </si>
  <si>
    <t>[None, None, None, 'submit_text']</t>
  </si>
  <si>
    <t>_ru_s_</t>
  </si>
  <si>
    <t>[np.float64(0.002777777777777778)]</t>
  </si>
  <si>
    <t>[np.float64(-0.2898148148148148)]</t>
  </si>
  <si>
    <t>[6.795870000001742]</t>
  </si>
  <si>
    <t>_ho_e</t>
  </si>
  <si>
    <t>shore</t>
  </si>
  <si>
    <t>[np.float64(-0.3101851851851852)]</t>
  </si>
  <si>
    <t>[9.59172490000492]</t>
  </si>
  <si>
    <t>b_o_</t>
  </si>
  <si>
    <t>blob</t>
  </si>
  <si>
    <t>[np.float64(-0.32685185185185184)]</t>
  </si>
  <si>
    <t>[9.940422199986642]</t>
  </si>
  <si>
    <t>p_s_r_</t>
  </si>
  <si>
    <t>[np.float64(-0.012037037037037037)]</t>
  </si>
  <si>
    <t>[np.float64(-0.3037037037037037)]</t>
  </si>
  <si>
    <t>[3.99170199999935]</t>
  </si>
  <si>
    <t>c_s_</t>
  </si>
  <si>
    <t>[4.925365900009638]</t>
  </si>
  <si>
    <t>l_pt_p</t>
  </si>
  <si>
    <t>[3.1111646999779623]</t>
  </si>
  <si>
    <t>ta_l_</t>
  </si>
  <si>
    <t>table</t>
  </si>
  <si>
    <t>new</t>
  </si>
  <si>
    <t>tails</t>
  </si>
  <si>
    <t>[6.611208599992096]</t>
  </si>
  <si>
    <t>p_li_e</t>
  </si>
  <si>
    <t>[2.77469230000861]</t>
  </si>
  <si>
    <t>c_m_ra</t>
  </si>
  <si>
    <t>camera</t>
  </si>
  <si>
    <t>[2.8760241999989375]</t>
  </si>
  <si>
    <t>t_hi_t</t>
  </si>
  <si>
    <t>tshirt</t>
  </si>
  <si>
    <t>[4.191674100002274]</t>
  </si>
  <si>
    <t>p_nc_l</t>
  </si>
  <si>
    <t>pencil</t>
  </si>
  <si>
    <t>[3.260314599989215]</t>
  </si>
  <si>
    <t>bo_t_e</t>
  </si>
  <si>
    <t>bottle</t>
  </si>
  <si>
    <t>[3.308769100025529]</t>
  </si>
  <si>
    <t>_a_bl_</t>
  </si>
  <si>
    <t>gamble</t>
  </si>
  <si>
    <t>[9.260100300016347]</t>
  </si>
  <si>
    <t>c_s_io_</t>
  </si>
  <si>
    <t>[5.1028778000036255]</t>
  </si>
  <si>
    <t>v_s_</t>
  </si>
  <si>
    <t>vase</t>
  </si>
  <si>
    <t>[3.0143171999952756]</t>
  </si>
  <si>
    <t>_ha_t</t>
  </si>
  <si>
    <t>[7.993502700002864]</t>
  </si>
  <si>
    <t>New</t>
  </si>
  <si>
    <t>Proportion of Hit</t>
  </si>
  <si>
    <t>Old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</si>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</sst>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1109-9A56-42AC-818A-7BB6D442409E}">
  <dimension ref="A1:BJ38"/>
  <sheetViews>
    <sheetView topLeftCell="A23" workbookViewId="0">
      <selection activeCell="G1" sqref="G1:J37"/>
    </sheetView>
  </sheetViews>
  <sheetFormatPr defaultRowHeight="14.5" x14ac:dyDescent="0.35"/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5">
      <c r="AB2">
        <v>3.9181000029202499E-3</v>
      </c>
      <c r="AC2">
        <v>1.0479999997187401E-2</v>
      </c>
      <c r="AD2">
        <v>5.0104281000094399</v>
      </c>
      <c r="BC2" t="s">
        <v>62</v>
      </c>
      <c r="BD2">
        <v>1</v>
      </c>
      <c r="BE2" t="s">
        <v>63</v>
      </c>
      <c r="BF2" t="s">
        <v>64</v>
      </c>
      <c r="BH2" t="s">
        <v>65</v>
      </c>
      <c r="BI2">
        <v>60.034712069252699</v>
      </c>
      <c r="BJ2" t="s">
        <v>66</v>
      </c>
    </row>
    <row r="3" spans="1:62" x14ac:dyDescent="0.35">
      <c r="A3" t="s">
        <v>67</v>
      </c>
      <c r="B3">
        <v>0</v>
      </c>
      <c r="C3">
        <v>0</v>
      </c>
      <c r="D3">
        <v>0</v>
      </c>
      <c r="E3">
        <v>1</v>
      </c>
      <c r="F3">
        <v>7.67533980001462</v>
      </c>
      <c r="R3">
        <v>0</v>
      </c>
      <c r="S3">
        <v>0</v>
      </c>
      <c r="T3">
        <v>0</v>
      </c>
      <c r="U3">
        <v>7</v>
      </c>
      <c r="Z3">
        <v>5.0508847000019097</v>
      </c>
      <c r="AE3">
        <v>5.0324117999989504</v>
      </c>
      <c r="AF3">
        <v>5.0508847000019097</v>
      </c>
      <c r="AG3">
        <v>5.0508847000019097</v>
      </c>
      <c r="AH3">
        <v>12.723481399996601</v>
      </c>
      <c r="AI3">
        <v>1</v>
      </c>
      <c r="AJ3">
        <v>7.67533980001462</v>
      </c>
      <c r="BC3" t="s">
        <v>62</v>
      </c>
      <c r="BD3">
        <v>1</v>
      </c>
      <c r="BE3" t="s">
        <v>63</v>
      </c>
      <c r="BF3" t="s">
        <v>64</v>
      </c>
      <c r="BH3" t="s">
        <v>65</v>
      </c>
      <c r="BI3">
        <v>60.034712069252699</v>
      </c>
      <c r="BJ3" t="s">
        <v>66</v>
      </c>
    </row>
    <row r="4" spans="1:62" x14ac:dyDescent="0.35">
      <c r="A4" t="s">
        <v>68</v>
      </c>
      <c r="B4">
        <v>1</v>
      </c>
      <c r="C4">
        <v>1</v>
      </c>
      <c r="D4">
        <v>0</v>
      </c>
      <c r="E4">
        <v>1</v>
      </c>
      <c r="F4">
        <v>1.9765589000016901</v>
      </c>
      <c r="R4">
        <v>0</v>
      </c>
      <c r="S4">
        <v>1</v>
      </c>
      <c r="T4">
        <v>1</v>
      </c>
      <c r="U4">
        <v>1</v>
      </c>
      <c r="Z4">
        <v>12.743172099988399</v>
      </c>
      <c r="AE4">
        <v>12.731133599998399</v>
      </c>
      <c r="AF4">
        <v>12.743172099988399</v>
      </c>
      <c r="AG4">
        <v>12.743172099988399</v>
      </c>
      <c r="AH4">
        <v>14.724013500002901</v>
      </c>
      <c r="AI4">
        <v>1</v>
      </c>
      <c r="AJ4">
        <v>1.9765589000016901</v>
      </c>
      <c r="BC4" t="s">
        <v>62</v>
      </c>
      <c r="BD4">
        <v>1</v>
      </c>
      <c r="BE4" t="s">
        <v>63</v>
      </c>
      <c r="BF4" t="s">
        <v>64</v>
      </c>
      <c r="BH4" t="s">
        <v>65</v>
      </c>
      <c r="BI4">
        <v>60.034712069252699</v>
      </c>
      <c r="BJ4" t="s">
        <v>66</v>
      </c>
    </row>
    <row r="5" spans="1:62" x14ac:dyDescent="0.35">
      <c r="A5" t="s">
        <v>69</v>
      </c>
      <c r="B5">
        <v>2</v>
      </c>
      <c r="C5">
        <v>2</v>
      </c>
      <c r="D5">
        <v>0</v>
      </c>
      <c r="E5">
        <v>1</v>
      </c>
      <c r="F5">
        <v>0.828223399992566</v>
      </c>
      <c r="R5">
        <v>0</v>
      </c>
      <c r="S5">
        <v>2</v>
      </c>
      <c r="T5">
        <v>2</v>
      </c>
      <c r="U5">
        <v>0</v>
      </c>
      <c r="Z5">
        <v>14.7432322000095</v>
      </c>
      <c r="AE5">
        <v>14.730438700003999</v>
      </c>
      <c r="AF5">
        <v>14.7432322000095</v>
      </c>
      <c r="AG5">
        <v>14.7432322000095</v>
      </c>
      <c r="AH5">
        <v>15.5740421999944</v>
      </c>
      <c r="AI5">
        <v>1</v>
      </c>
      <c r="AJ5">
        <v>0.828223399992566</v>
      </c>
      <c r="BC5" t="s">
        <v>62</v>
      </c>
      <c r="BD5">
        <v>1</v>
      </c>
      <c r="BE5" t="s">
        <v>63</v>
      </c>
      <c r="BF5" t="s">
        <v>64</v>
      </c>
      <c r="BH5" t="s">
        <v>65</v>
      </c>
      <c r="BI5">
        <v>60.034712069252699</v>
      </c>
      <c r="BJ5" t="s">
        <v>66</v>
      </c>
    </row>
    <row r="6" spans="1:62" x14ac:dyDescent="0.35">
      <c r="A6" t="s">
        <v>70</v>
      </c>
      <c r="B6">
        <v>3</v>
      </c>
      <c r="C6">
        <v>3</v>
      </c>
      <c r="D6">
        <v>0</v>
      </c>
      <c r="E6">
        <v>1</v>
      </c>
      <c r="F6">
        <v>1.0102858000027399</v>
      </c>
      <c r="R6">
        <v>0</v>
      </c>
      <c r="S6">
        <v>3</v>
      </c>
      <c r="T6">
        <v>3</v>
      </c>
      <c r="U6">
        <v>3</v>
      </c>
      <c r="Z6">
        <v>15.595359800004999</v>
      </c>
      <c r="AE6">
        <v>15.580632900004201</v>
      </c>
      <c r="AF6">
        <v>15.595359800004999</v>
      </c>
      <c r="AG6">
        <v>15.595359800004999</v>
      </c>
      <c r="AH6">
        <v>16.6067743999883</v>
      </c>
      <c r="AI6">
        <v>1</v>
      </c>
      <c r="AJ6">
        <v>1.0102858000027399</v>
      </c>
      <c r="BC6" t="s">
        <v>62</v>
      </c>
      <c r="BD6">
        <v>1</v>
      </c>
      <c r="BE6" t="s">
        <v>63</v>
      </c>
      <c r="BF6" t="s">
        <v>64</v>
      </c>
      <c r="BH6" t="s">
        <v>65</v>
      </c>
      <c r="BI6">
        <v>60.034712069252699</v>
      </c>
      <c r="BJ6" t="s">
        <v>66</v>
      </c>
    </row>
    <row r="7" spans="1:62" x14ac:dyDescent="0.35">
      <c r="A7" t="s">
        <v>71</v>
      </c>
      <c r="B7">
        <v>4</v>
      </c>
      <c r="C7">
        <v>4</v>
      </c>
      <c r="D7">
        <v>0</v>
      </c>
      <c r="E7">
        <v>1</v>
      </c>
      <c r="F7">
        <v>0.84441249998053503</v>
      </c>
      <c r="R7">
        <v>0</v>
      </c>
      <c r="S7">
        <v>4</v>
      </c>
      <c r="T7">
        <v>4</v>
      </c>
      <c r="U7">
        <v>4</v>
      </c>
      <c r="Z7">
        <v>16.625525500014099</v>
      </c>
      <c r="AE7">
        <v>16.613204900000699</v>
      </c>
      <c r="AF7">
        <v>16.625525500014099</v>
      </c>
      <c r="AG7">
        <v>16.625525500014099</v>
      </c>
      <c r="AH7">
        <v>17.4740579999925</v>
      </c>
      <c r="AI7">
        <v>1</v>
      </c>
      <c r="AJ7">
        <v>0.84441249998053503</v>
      </c>
      <c r="BC7" t="s">
        <v>62</v>
      </c>
      <c r="BD7">
        <v>1</v>
      </c>
      <c r="BE7" t="s">
        <v>63</v>
      </c>
      <c r="BF7" t="s">
        <v>64</v>
      </c>
      <c r="BH7" t="s">
        <v>65</v>
      </c>
      <c r="BI7">
        <v>60.034712069252699</v>
      </c>
      <c r="BJ7" t="s">
        <v>66</v>
      </c>
    </row>
    <row r="8" spans="1:62" x14ac:dyDescent="0.35">
      <c r="A8" t="s">
        <v>72</v>
      </c>
      <c r="B8">
        <v>5</v>
      </c>
      <c r="C8">
        <v>5</v>
      </c>
      <c r="D8">
        <v>0</v>
      </c>
      <c r="E8">
        <v>1</v>
      </c>
      <c r="F8">
        <v>1.12714979998418</v>
      </c>
      <c r="R8">
        <v>0</v>
      </c>
      <c r="S8">
        <v>5</v>
      </c>
      <c r="T8">
        <v>5</v>
      </c>
      <c r="U8">
        <v>11</v>
      </c>
      <c r="Z8">
        <v>17.496685499994701</v>
      </c>
      <c r="AE8">
        <v>17.4816723999974</v>
      </c>
      <c r="AF8">
        <v>17.496685499994701</v>
      </c>
      <c r="AG8">
        <v>17.496685499994701</v>
      </c>
      <c r="AH8">
        <v>18.623003899992899</v>
      </c>
      <c r="AI8">
        <v>1</v>
      </c>
      <c r="AJ8">
        <v>1.12714979998418</v>
      </c>
      <c r="BC8" t="s">
        <v>62</v>
      </c>
      <c r="BD8">
        <v>1</v>
      </c>
      <c r="BE8" t="s">
        <v>63</v>
      </c>
      <c r="BF8" t="s">
        <v>64</v>
      </c>
      <c r="BH8" t="s">
        <v>65</v>
      </c>
      <c r="BI8">
        <v>60.034712069252699</v>
      </c>
      <c r="BJ8" t="s">
        <v>66</v>
      </c>
    </row>
    <row r="9" spans="1:62" x14ac:dyDescent="0.35">
      <c r="A9" t="s">
        <v>73</v>
      </c>
      <c r="B9">
        <v>6</v>
      </c>
      <c r="C9">
        <v>6</v>
      </c>
      <c r="D9">
        <v>0</v>
      </c>
      <c r="E9">
        <v>1</v>
      </c>
      <c r="F9">
        <v>0.89632759999949396</v>
      </c>
      <c r="R9">
        <v>0</v>
      </c>
      <c r="S9">
        <v>6</v>
      </c>
      <c r="T9">
        <v>6</v>
      </c>
      <c r="U9">
        <v>2</v>
      </c>
      <c r="Z9">
        <v>18.640670299995602</v>
      </c>
      <c r="AE9">
        <v>18.629195499990601</v>
      </c>
      <c r="AF9">
        <v>18.640670299995602</v>
      </c>
      <c r="AG9">
        <v>18.640670299995602</v>
      </c>
      <c r="AH9">
        <v>19.5444980000029</v>
      </c>
      <c r="AI9">
        <v>1</v>
      </c>
      <c r="AJ9">
        <v>0.89632759999949396</v>
      </c>
      <c r="BC9" t="s">
        <v>62</v>
      </c>
      <c r="BD9">
        <v>1</v>
      </c>
      <c r="BE9" t="s">
        <v>63</v>
      </c>
      <c r="BF9" t="s">
        <v>64</v>
      </c>
      <c r="BH9" t="s">
        <v>65</v>
      </c>
      <c r="BI9">
        <v>60.034712069252699</v>
      </c>
      <c r="BJ9" t="s">
        <v>66</v>
      </c>
    </row>
    <row r="10" spans="1:62" x14ac:dyDescent="0.35">
      <c r="A10" t="s">
        <v>74</v>
      </c>
      <c r="B10">
        <v>7</v>
      </c>
      <c r="C10">
        <v>7</v>
      </c>
      <c r="D10">
        <v>0</v>
      </c>
      <c r="E10">
        <v>1</v>
      </c>
      <c r="F10">
        <v>1.23954780001076</v>
      </c>
      <c r="R10">
        <v>0</v>
      </c>
      <c r="S10">
        <v>7</v>
      </c>
      <c r="T10">
        <v>7</v>
      </c>
      <c r="U10">
        <v>14</v>
      </c>
      <c r="Z10">
        <v>19.566247300012002</v>
      </c>
      <c r="AE10">
        <v>19.5512017</v>
      </c>
      <c r="AF10">
        <v>19.566247300012002</v>
      </c>
      <c r="AG10">
        <v>19.566247300012002</v>
      </c>
      <c r="AH10">
        <v>20.806862700002899</v>
      </c>
      <c r="AI10">
        <v>1</v>
      </c>
      <c r="AJ10">
        <v>1.23954780001076</v>
      </c>
      <c r="BC10" t="s">
        <v>62</v>
      </c>
      <c r="BD10">
        <v>1</v>
      </c>
      <c r="BE10" t="s">
        <v>63</v>
      </c>
      <c r="BF10" t="s">
        <v>64</v>
      </c>
      <c r="BH10" t="s">
        <v>65</v>
      </c>
      <c r="BI10">
        <v>60.034712069252699</v>
      </c>
      <c r="BJ10" t="s">
        <v>66</v>
      </c>
    </row>
    <row r="11" spans="1:62" x14ac:dyDescent="0.35">
      <c r="A11" t="s">
        <v>75</v>
      </c>
      <c r="B11">
        <v>8</v>
      </c>
      <c r="C11">
        <v>8</v>
      </c>
      <c r="D11">
        <v>0</v>
      </c>
      <c r="E11">
        <v>1</v>
      </c>
      <c r="F11">
        <v>0.84578689999761902</v>
      </c>
      <c r="R11">
        <v>0</v>
      </c>
      <c r="S11">
        <v>8</v>
      </c>
      <c r="T11">
        <v>8</v>
      </c>
      <c r="U11">
        <v>5</v>
      </c>
      <c r="Z11">
        <v>20.825799100013601</v>
      </c>
      <c r="AE11">
        <v>20.8130461999971</v>
      </c>
      <c r="AF11">
        <v>20.825799100013601</v>
      </c>
      <c r="AG11">
        <v>20.825799100013601</v>
      </c>
      <c r="AH11">
        <v>21.6744441000046</v>
      </c>
      <c r="AI11">
        <v>1</v>
      </c>
      <c r="AJ11">
        <v>0.84578689999761902</v>
      </c>
      <c r="BC11" t="s">
        <v>62</v>
      </c>
      <c r="BD11">
        <v>1</v>
      </c>
      <c r="BE11" t="s">
        <v>63</v>
      </c>
      <c r="BF11" t="s">
        <v>64</v>
      </c>
      <c r="BH11" t="s">
        <v>65</v>
      </c>
      <c r="BI11">
        <v>60.034712069252699</v>
      </c>
      <c r="BJ11" t="s">
        <v>66</v>
      </c>
    </row>
    <row r="12" spans="1:62" x14ac:dyDescent="0.35">
      <c r="A12" t="s">
        <v>76</v>
      </c>
      <c r="B12">
        <v>9</v>
      </c>
      <c r="C12">
        <v>9</v>
      </c>
      <c r="D12">
        <v>0</v>
      </c>
      <c r="E12">
        <v>1</v>
      </c>
      <c r="F12">
        <v>1.1448568999767299</v>
      </c>
      <c r="R12">
        <v>0</v>
      </c>
      <c r="S12">
        <v>9</v>
      </c>
      <c r="T12">
        <v>9</v>
      </c>
      <c r="U12">
        <v>8</v>
      </c>
      <c r="Z12">
        <v>21.695061700011099</v>
      </c>
      <c r="AE12">
        <v>21.680915700009699</v>
      </c>
      <c r="AF12">
        <v>21.695061700011099</v>
      </c>
      <c r="AG12">
        <v>21.695061700011099</v>
      </c>
      <c r="AH12">
        <v>22.842480199993499</v>
      </c>
      <c r="AI12">
        <v>1</v>
      </c>
      <c r="AJ12">
        <v>1.1448568999767299</v>
      </c>
      <c r="BC12" t="s">
        <v>62</v>
      </c>
      <c r="BD12">
        <v>1</v>
      </c>
      <c r="BE12" t="s">
        <v>63</v>
      </c>
      <c r="BF12" t="s">
        <v>64</v>
      </c>
      <c r="BH12" t="s">
        <v>65</v>
      </c>
      <c r="BI12">
        <v>60.034712069252699</v>
      </c>
      <c r="BJ12" t="s">
        <v>66</v>
      </c>
    </row>
    <row r="13" spans="1:62" x14ac:dyDescent="0.35">
      <c r="A13" t="s">
        <v>77</v>
      </c>
      <c r="B13">
        <v>10</v>
      </c>
      <c r="C13">
        <v>10</v>
      </c>
      <c r="D13">
        <v>0</v>
      </c>
      <c r="E13">
        <v>1</v>
      </c>
      <c r="F13">
        <v>1.59244489998673</v>
      </c>
      <c r="R13">
        <v>0</v>
      </c>
      <c r="S13">
        <v>10</v>
      </c>
      <c r="T13">
        <v>10</v>
      </c>
      <c r="U13">
        <v>10</v>
      </c>
      <c r="Z13">
        <v>22.8633412999915</v>
      </c>
      <c r="AE13">
        <v>22.849178300006301</v>
      </c>
      <c r="AF13">
        <v>22.8633412999915</v>
      </c>
      <c r="AG13">
        <v>22.8633412999915</v>
      </c>
      <c r="AH13">
        <v>24.456482400011701</v>
      </c>
      <c r="AI13">
        <v>1</v>
      </c>
      <c r="AJ13">
        <v>1.59244489998673</v>
      </c>
      <c r="BC13" t="s">
        <v>62</v>
      </c>
      <c r="BD13">
        <v>1</v>
      </c>
      <c r="BE13" t="s">
        <v>63</v>
      </c>
      <c r="BF13" t="s">
        <v>64</v>
      </c>
      <c r="BH13" t="s">
        <v>65</v>
      </c>
      <c r="BI13">
        <v>60.034712069252699</v>
      </c>
      <c r="BJ13" t="s">
        <v>66</v>
      </c>
    </row>
    <row r="14" spans="1:62" x14ac:dyDescent="0.35">
      <c r="A14" t="s">
        <v>78</v>
      </c>
      <c r="B14">
        <v>11</v>
      </c>
      <c r="C14">
        <v>11</v>
      </c>
      <c r="D14">
        <v>0</v>
      </c>
      <c r="E14">
        <v>1</v>
      </c>
      <c r="F14">
        <v>0.81126309998217006</v>
      </c>
      <c r="R14">
        <v>0</v>
      </c>
      <c r="S14">
        <v>11</v>
      </c>
      <c r="T14">
        <v>11</v>
      </c>
      <c r="U14">
        <v>12</v>
      </c>
      <c r="Z14">
        <v>24.4756508000136</v>
      </c>
      <c r="AE14">
        <v>24.462245000002401</v>
      </c>
      <c r="AF14">
        <v>24.4756508000136</v>
      </c>
      <c r="AG14">
        <v>24.4756508000136</v>
      </c>
      <c r="AH14">
        <v>25.289728000003301</v>
      </c>
      <c r="AI14">
        <v>1</v>
      </c>
      <c r="AJ14">
        <v>0.81126309998217006</v>
      </c>
      <c r="BC14" t="s">
        <v>62</v>
      </c>
      <c r="BD14">
        <v>1</v>
      </c>
      <c r="BE14" t="s">
        <v>63</v>
      </c>
      <c r="BF14" t="s">
        <v>64</v>
      </c>
      <c r="BH14" t="s">
        <v>65</v>
      </c>
      <c r="BI14">
        <v>60.034712069252699</v>
      </c>
      <c r="BJ14" t="s">
        <v>66</v>
      </c>
    </row>
    <row r="15" spans="1:62" x14ac:dyDescent="0.35">
      <c r="A15" t="s">
        <v>79</v>
      </c>
      <c r="B15">
        <v>12</v>
      </c>
      <c r="C15">
        <v>12</v>
      </c>
      <c r="D15">
        <v>0</v>
      </c>
      <c r="E15">
        <v>1</v>
      </c>
      <c r="F15">
        <v>0.96345430001383603</v>
      </c>
      <c r="R15">
        <v>0</v>
      </c>
      <c r="S15">
        <v>12</v>
      </c>
      <c r="T15">
        <v>12</v>
      </c>
      <c r="U15">
        <v>13</v>
      </c>
      <c r="Z15">
        <v>25.304550900007499</v>
      </c>
      <c r="AE15">
        <v>25.294660999992601</v>
      </c>
      <c r="AF15">
        <v>25.304550900007499</v>
      </c>
      <c r="AG15">
        <v>25.304550900007499</v>
      </c>
      <c r="AH15">
        <v>26.272849600005401</v>
      </c>
      <c r="AI15">
        <v>1</v>
      </c>
      <c r="AJ15">
        <v>0.96345430001383603</v>
      </c>
      <c r="BC15" t="s">
        <v>62</v>
      </c>
      <c r="BD15">
        <v>1</v>
      </c>
      <c r="BE15" t="s">
        <v>63</v>
      </c>
      <c r="BF15" t="s">
        <v>64</v>
      </c>
      <c r="BH15" t="s">
        <v>65</v>
      </c>
      <c r="BI15">
        <v>60.034712069252699</v>
      </c>
      <c r="BJ15" t="s">
        <v>66</v>
      </c>
    </row>
    <row r="16" spans="1:62" x14ac:dyDescent="0.35">
      <c r="A16" t="s">
        <v>80</v>
      </c>
      <c r="B16">
        <v>13</v>
      </c>
      <c r="C16">
        <v>13</v>
      </c>
      <c r="D16">
        <v>0</v>
      </c>
      <c r="E16">
        <v>1</v>
      </c>
      <c r="F16">
        <v>0.93047730001853701</v>
      </c>
      <c r="R16">
        <v>0</v>
      </c>
      <c r="S16">
        <v>13</v>
      </c>
      <c r="T16">
        <v>13</v>
      </c>
      <c r="U16">
        <v>6</v>
      </c>
      <c r="Z16">
        <v>26.288165800011399</v>
      </c>
      <c r="AE16">
        <v>26.2770604999968</v>
      </c>
      <c r="AF16">
        <v>26.288165800011399</v>
      </c>
      <c r="AG16">
        <v>26.288165800011399</v>
      </c>
      <c r="AH16">
        <v>27.2239800000097</v>
      </c>
      <c r="AI16">
        <v>1</v>
      </c>
      <c r="AJ16">
        <v>0.93047730001853701</v>
      </c>
      <c r="BC16" t="s">
        <v>62</v>
      </c>
      <c r="BD16">
        <v>1</v>
      </c>
      <c r="BE16" t="s">
        <v>63</v>
      </c>
      <c r="BF16" t="s">
        <v>64</v>
      </c>
      <c r="BH16" t="s">
        <v>65</v>
      </c>
      <c r="BI16">
        <v>60.034712069252699</v>
      </c>
      <c r="BJ16" t="s">
        <v>66</v>
      </c>
    </row>
    <row r="17" spans="1:62" x14ac:dyDescent="0.35">
      <c r="A17" t="s">
        <v>81</v>
      </c>
      <c r="B17">
        <v>14</v>
      </c>
      <c r="C17">
        <v>14</v>
      </c>
      <c r="D17">
        <v>0</v>
      </c>
      <c r="E17">
        <v>1.05185185185185</v>
      </c>
      <c r="F17">
        <v>3.0287282999779501</v>
      </c>
      <c r="R17">
        <v>0</v>
      </c>
      <c r="S17">
        <v>14</v>
      </c>
      <c r="T17">
        <v>14</v>
      </c>
      <c r="U17">
        <v>9</v>
      </c>
      <c r="Z17">
        <v>27.2442142000072</v>
      </c>
      <c r="AE17">
        <v>27.229797900013999</v>
      </c>
      <c r="AF17">
        <v>27.2442142000072</v>
      </c>
      <c r="AG17">
        <v>27.2442142000072</v>
      </c>
      <c r="AH17">
        <v>30.273925199988199</v>
      </c>
      <c r="AI17">
        <v>1.05185185185185</v>
      </c>
      <c r="AJ17">
        <v>3.0287282999779501</v>
      </c>
      <c r="BC17" t="s">
        <v>62</v>
      </c>
      <c r="BD17">
        <v>1</v>
      </c>
      <c r="BE17" t="s">
        <v>63</v>
      </c>
      <c r="BF17" t="s">
        <v>64</v>
      </c>
      <c r="BH17" t="s">
        <v>65</v>
      </c>
      <c r="BI17">
        <v>60.034712069252699</v>
      </c>
      <c r="BJ17" t="s">
        <v>66</v>
      </c>
    </row>
    <row r="18" spans="1:62" x14ac:dyDescent="0.35">
      <c r="B18">
        <v>0</v>
      </c>
      <c r="C18">
        <v>0</v>
      </c>
      <c r="D18">
        <v>0</v>
      </c>
      <c r="G18" t="s">
        <v>82</v>
      </c>
      <c r="H18" t="s">
        <v>74</v>
      </c>
      <c r="I18" t="s">
        <v>83</v>
      </c>
      <c r="J18" t="s">
        <v>81</v>
      </c>
      <c r="K18" t="s">
        <v>84</v>
      </c>
      <c r="L18" t="s">
        <v>85</v>
      </c>
      <c r="M18" t="s">
        <v>86</v>
      </c>
      <c r="N18" t="s">
        <v>87</v>
      </c>
      <c r="O18" t="s">
        <v>87</v>
      </c>
      <c r="P18" t="s">
        <v>88</v>
      </c>
      <c r="Q18" t="s">
        <v>89</v>
      </c>
      <c r="V18">
        <v>0</v>
      </c>
      <c r="W18">
        <v>0</v>
      </c>
      <c r="X18">
        <v>0</v>
      </c>
      <c r="Y18">
        <v>9</v>
      </c>
      <c r="Z18">
        <v>30.313460000004799</v>
      </c>
      <c r="AK18">
        <v>30.294118299992899</v>
      </c>
      <c r="AL18">
        <v>30.313460000004799</v>
      </c>
      <c r="AM18">
        <v>30.313460000004799</v>
      </c>
      <c r="AN18">
        <v>30.313460000004799</v>
      </c>
      <c r="AO18">
        <v>2.0208600006299E-2</v>
      </c>
      <c r="AP18">
        <v>39.676408300001597</v>
      </c>
      <c r="AQ18" t="s">
        <v>81</v>
      </c>
      <c r="AR18" t="s">
        <v>84</v>
      </c>
      <c r="AS18" t="s">
        <v>85</v>
      </c>
      <c r="AT18" t="s">
        <v>86</v>
      </c>
      <c r="AU18" t="s">
        <v>87</v>
      </c>
      <c r="AV18" t="s">
        <v>87</v>
      </c>
      <c r="AW18" t="s">
        <v>88</v>
      </c>
      <c r="AX18" t="s">
        <v>89</v>
      </c>
      <c r="BC18" t="s">
        <v>62</v>
      </c>
      <c r="BD18">
        <v>1</v>
      </c>
      <c r="BE18" t="s">
        <v>63</v>
      </c>
      <c r="BF18" t="s">
        <v>64</v>
      </c>
      <c r="BH18" t="s">
        <v>65</v>
      </c>
      <c r="BI18">
        <v>60.034712069252699</v>
      </c>
      <c r="BJ18" t="s">
        <v>66</v>
      </c>
    </row>
    <row r="19" spans="1:62" x14ac:dyDescent="0.35">
      <c r="B19">
        <v>1</v>
      </c>
      <c r="C19">
        <v>1</v>
      </c>
      <c r="D19">
        <v>0</v>
      </c>
      <c r="G19" t="s">
        <v>90</v>
      </c>
      <c r="H19" t="s">
        <v>79</v>
      </c>
      <c r="I19" t="s">
        <v>83</v>
      </c>
      <c r="J19" t="s">
        <v>79</v>
      </c>
      <c r="K19" t="s">
        <v>91</v>
      </c>
      <c r="L19" t="s">
        <v>92</v>
      </c>
      <c r="M19" t="s">
        <v>93</v>
      </c>
      <c r="N19" t="s">
        <v>94</v>
      </c>
      <c r="O19" t="s">
        <v>94</v>
      </c>
      <c r="P19" t="s">
        <v>95</v>
      </c>
      <c r="Q19" t="s">
        <v>96</v>
      </c>
      <c r="V19">
        <v>0</v>
      </c>
      <c r="W19">
        <v>1</v>
      </c>
      <c r="X19">
        <v>1</v>
      </c>
      <c r="Y19">
        <v>8</v>
      </c>
      <c r="Z19">
        <v>39.695800499990497</v>
      </c>
      <c r="AK19">
        <v>39.681319700000998</v>
      </c>
      <c r="AL19">
        <v>39.695800499990497</v>
      </c>
      <c r="AM19">
        <v>39.695800499990497</v>
      </c>
      <c r="AN19">
        <v>39.695800499990497</v>
      </c>
      <c r="AO19">
        <v>4.6398999984376098E-3</v>
      </c>
      <c r="AP19">
        <v>43.074238300003302</v>
      </c>
      <c r="AQ19" t="s">
        <v>79</v>
      </c>
      <c r="AR19" t="s">
        <v>91</v>
      </c>
      <c r="AS19" t="s">
        <v>92</v>
      </c>
      <c r="AT19" t="s">
        <v>93</v>
      </c>
      <c r="AU19" t="s">
        <v>94</v>
      </c>
      <c r="AV19" t="s">
        <v>94</v>
      </c>
      <c r="AW19" t="s">
        <v>95</v>
      </c>
      <c r="AX19" t="s">
        <v>96</v>
      </c>
      <c r="BC19" t="s">
        <v>62</v>
      </c>
      <c r="BD19">
        <v>1</v>
      </c>
      <c r="BE19" t="s">
        <v>63</v>
      </c>
      <c r="BF19" t="s">
        <v>64</v>
      </c>
      <c r="BH19" t="s">
        <v>65</v>
      </c>
      <c r="BI19">
        <v>60.034712069252699</v>
      </c>
      <c r="BJ19" t="s">
        <v>66</v>
      </c>
    </row>
    <row r="20" spans="1:62" x14ac:dyDescent="0.35">
      <c r="B20">
        <v>2</v>
      </c>
      <c r="C20">
        <v>2</v>
      </c>
      <c r="D20">
        <v>0</v>
      </c>
      <c r="G20" t="s">
        <v>97</v>
      </c>
      <c r="H20" t="s">
        <v>71</v>
      </c>
      <c r="I20" t="s">
        <v>83</v>
      </c>
      <c r="J20" t="s">
        <v>98</v>
      </c>
      <c r="K20" t="s">
        <v>99</v>
      </c>
      <c r="L20" t="s">
        <v>99</v>
      </c>
      <c r="M20" t="s">
        <v>99</v>
      </c>
      <c r="N20" t="s">
        <v>99</v>
      </c>
      <c r="O20" t="s">
        <v>99</v>
      </c>
      <c r="P20" t="s">
        <v>99</v>
      </c>
      <c r="Q20" t="s">
        <v>99</v>
      </c>
      <c r="V20">
        <v>0</v>
      </c>
      <c r="W20">
        <v>2</v>
      </c>
      <c r="X20">
        <v>2</v>
      </c>
      <c r="Y20">
        <v>10</v>
      </c>
      <c r="Z20">
        <v>43.0977584999927</v>
      </c>
      <c r="AK20">
        <v>43.080645999987603</v>
      </c>
      <c r="AL20">
        <v>43.0977584999927</v>
      </c>
      <c r="AM20">
        <v>43.0977584999927</v>
      </c>
      <c r="AN20">
        <v>43.0977584999927</v>
      </c>
      <c r="AO20">
        <v>6.2508999835699797E-3</v>
      </c>
      <c r="AP20">
        <v>53.088269900006701</v>
      </c>
      <c r="AQ20" t="s">
        <v>98</v>
      </c>
      <c r="AR20" t="s">
        <v>99</v>
      </c>
      <c r="AS20" t="s">
        <v>99</v>
      </c>
      <c r="AT20" t="s">
        <v>99</v>
      </c>
      <c r="AU20" t="s">
        <v>99</v>
      </c>
      <c r="AV20" t="s">
        <v>99</v>
      </c>
      <c r="AW20" t="s">
        <v>99</v>
      </c>
      <c r="AX20" t="s">
        <v>99</v>
      </c>
      <c r="AY20">
        <v>53.087691399996402</v>
      </c>
      <c r="BC20" t="s">
        <v>62</v>
      </c>
      <c r="BD20">
        <v>1</v>
      </c>
      <c r="BE20" t="s">
        <v>63</v>
      </c>
      <c r="BF20" t="s">
        <v>64</v>
      </c>
      <c r="BH20" t="s">
        <v>65</v>
      </c>
      <c r="BI20">
        <v>60.034712069252699</v>
      </c>
      <c r="BJ20" t="s">
        <v>66</v>
      </c>
    </row>
    <row r="21" spans="1:62" x14ac:dyDescent="0.35">
      <c r="B21">
        <v>3</v>
      </c>
      <c r="C21">
        <v>3</v>
      </c>
      <c r="D21">
        <v>0</v>
      </c>
      <c r="G21" t="s">
        <v>100</v>
      </c>
      <c r="H21" t="s">
        <v>76</v>
      </c>
      <c r="I21" t="s">
        <v>83</v>
      </c>
      <c r="J21" t="s">
        <v>76</v>
      </c>
      <c r="K21" t="s">
        <v>101</v>
      </c>
      <c r="L21" t="s">
        <v>102</v>
      </c>
      <c r="M21" t="s">
        <v>103</v>
      </c>
      <c r="N21" t="s">
        <v>104</v>
      </c>
      <c r="O21" t="s">
        <v>104</v>
      </c>
      <c r="P21" t="s">
        <v>105</v>
      </c>
      <c r="Q21" t="s">
        <v>106</v>
      </c>
      <c r="V21">
        <v>0</v>
      </c>
      <c r="W21">
        <v>3</v>
      </c>
      <c r="X21">
        <v>3</v>
      </c>
      <c r="Y21">
        <v>3</v>
      </c>
      <c r="Z21">
        <v>53.105119599989798</v>
      </c>
      <c r="AK21">
        <v>53.093555100000202</v>
      </c>
      <c r="AL21">
        <v>53.105119599989798</v>
      </c>
      <c r="AM21">
        <v>53.105119599989798</v>
      </c>
      <c r="AN21">
        <v>53.105119599989798</v>
      </c>
      <c r="AO21">
        <v>1.9145099999150199E-2</v>
      </c>
      <c r="AP21">
        <v>57.856215200008499</v>
      </c>
      <c r="AQ21" t="s">
        <v>76</v>
      </c>
      <c r="AR21" t="s">
        <v>101</v>
      </c>
      <c r="AS21" t="s">
        <v>102</v>
      </c>
      <c r="AT21" t="s">
        <v>103</v>
      </c>
      <c r="AU21" t="s">
        <v>104</v>
      </c>
      <c r="AV21" t="s">
        <v>104</v>
      </c>
      <c r="AW21" t="s">
        <v>105</v>
      </c>
      <c r="AX21" t="s">
        <v>106</v>
      </c>
      <c r="BC21" t="s">
        <v>62</v>
      </c>
      <c r="BD21">
        <v>1</v>
      </c>
      <c r="BE21" t="s">
        <v>63</v>
      </c>
      <c r="BF21" t="s">
        <v>64</v>
      </c>
      <c r="BH21" t="s">
        <v>65</v>
      </c>
      <c r="BI21">
        <v>60.034712069252699</v>
      </c>
      <c r="BJ21" t="s">
        <v>66</v>
      </c>
    </row>
    <row r="22" spans="1:62" x14ac:dyDescent="0.35">
      <c r="B22">
        <v>4</v>
      </c>
      <c r="C22">
        <v>4</v>
      </c>
      <c r="D22">
        <v>0</v>
      </c>
      <c r="G22" t="s">
        <v>107</v>
      </c>
      <c r="H22" t="s">
        <v>72</v>
      </c>
      <c r="I22" t="s">
        <v>83</v>
      </c>
      <c r="J22" t="s">
        <v>72</v>
      </c>
      <c r="K22" t="s">
        <v>108</v>
      </c>
      <c r="L22" t="s">
        <v>109</v>
      </c>
      <c r="M22" t="s">
        <v>93</v>
      </c>
      <c r="N22" t="s">
        <v>94</v>
      </c>
      <c r="O22" t="s">
        <v>94</v>
      </c>
      <c r="P22" t="s">
        <v>110</v>
      </c>
      <c r="Q22" t="s">
        <v>96</v>
      </c>
      <c r="V22">
        <v>0</v>
      </c>
      <c r="W22">
        <v>4</v>
      </c>
      <c r="X22">
        <v>4</v>
      </c>
      <c r="Y22">
        <v>6</v>
      </c>
      <c r="Z22">
        <v>57.870936699997401</v>
      </c>
      <c r="AK22">
        <v>57.860975699994</v>
      </c>
      <c r="AL22">
        <v>57.870936699997401</v>
      </c>
      <c r="AM22">
        <v>57.870936699997401</v>
      </c>
      <c r="AN22">
        <v>57.870936699997401</v>
      </c>
      <c r="AO22">
        <v>4.52939997194334E-3</v>
      </c>
      <c r="AP22">
        <v>64.657312600000296</v>
      </c>
      <c r="AQ22" t="s">
        <v>72</v>
      </c>
      <c r="AR22" t="s">
        <v>108</v>
      </c>
      <c r="AS22" t="s">
        <v>109</v>
      </c>
      <c r="AT22" t="s">
        <v>93</v>
      </c>
      <c r="AU22" t="s">
        <v>94</v>
      </c>
      <c r="AV22" t="s">
        <v>94</v>
      </c>
      <c r="AW22" t="s">
        <v>110</v>
      </c>
      <c r="AX22" t="s">
        <v>96</v>
      </c>
      <c r="BC22" t="s">
        <v>62</v>
      </c>
      <c r="BD22">
        <v>1</v>
      </c>
      <c r="BE22" t="s">
        <v>63</v>
      </c>
      <c r="BF22" t="s">
        <v>64</v>
      </c>
      <c r="BH22" t="s">
        <v>65</v>
      </c>
      <c r="BI22">
        <v>60.034712069252699</v>
      </c>
      <c r="BJ22" t="s">
        <v>66</v>
      </c>
    </row>
    <row r="23" spans="1:62" x14ac:dyDescent="0.35">
      <c r="B23">
        <v>5</v>
      </c>
      <c r="C23">
        <v>5</v>
      </c>
      <c r="D23">
        <v>0</v>
      </c>
      <c r="G23" t="s">
        <v>111</v>
      </c>
      <c r="H23" t="s">
        <v>73</v>
      </c>
      <c r="I23" t="s">
        <v>83</v>
      </c>
      <c r="J23" t="s">
        <v>112</v>
      </c>
      <c r="K23" t="s">
        <v>108</v>
      </c>
      <c r="L23" t="s">
        <v>113</v>
      </c>
      <c r="M23" t="s">
        <v>93</v>
      </c>
      <c r="N23" t="s">
        <v>94</v>
      </c>
      <c r="O23" t="s">
        <v>94</v>
      </c>
      <c r="P23" t="s">
        <v>114</v>
      </c>
      <c r="Q23" t="s">
        <v>96</v>
      </c>
      <c r="V23">
        <v>0</v>
      </c>
      <c r="W23">
        <v>5</v>
      </c>
      <c r="X23">
        <v>5</v>
      </c>
      <c r="Y23">
        <v>12</v>
      </c>
      <c r="Z23">
        <v>64.684624899993594</v>
      </c>
      <c r="AK23">
        <v>64.665717900003003</v>
      </c>
      <c r="AL23">
        <v>64.684624899993594</v>
      </c>
      <c r="AM23">
        <v>64.684624899993594</v>
      </c>
      <c r="AN23">
        <v>64.684624899993594</v>
      </c>
      <c r="AO23">
        <v>8.22089999564923E-3</v>
      </c>
      <c r="AP23">
        <v>74.258026099996599</v>
      </c>
      <c r="AQ23" t="s">
        <v>112</v>
      </c>
      <c r="AR23" t="s">
        <v>108</v>
      </c>
      <c r="AS23" t="s">
        <v>113</v>
      </c>
      <c r="AT23" t="s">
        <v>93</v>
      </c>
      <c r="AU23" t="s">
        <v>94</v>
      </c>
      <c r="AV23" t="s">
        <v>94</v>
      </c>
      <c r="AW23" t="s">
        <v>114</v>
      </c>
      <c r="AX23" t="s">
        <v>96</v>
      </c>
      <c r="BC23" t="s">
        <v>62</v>
      </c>
      <c r="BD23">
        <v>1</v>
      </c>
      <c r="BE23" t="s">
        <v>63</v>
      </c>
      <c r="BF23" t="s">
        <v>64</v>
      </c>
      <c r="BH23" t="s">
        <v>65</v>
      </c>
      <c r="BI23">
        <v>60.034712069252699</v>
      </c>
      <c r="BJ23" t="s">
        <v>66</v>
      </c>
    </row>
    <row r="24" spans="1:62" x14ac:dyDescent="0.35">
      <c r="B24">
        <v>6</v>
      </c>
      <c r="C24">
        <v>6</v>
      </c>
      <c r="D24">
        <v>0</v>
      </c>
      <c r="G24" t="s">
        <v>115</v>
      </c>
      <c r="H24" t="s">
        <v>69</v>
      </c>
      <c r="I24" t="s">
        <v>83</v>
      </c>
      <c r="J24" t="s">
        <v>116</v>
      </c>
      <c r="K24" t="s">
        <v>108</v>
      </c>
      <c r="L24" t="s">
        <v>117</v>
      </c>
      <c r="M24" t="s">
        <v>93</v>
      </c>
      <c r="N24" t="s">
        <v>94</v>
      </c>
      <c r="O24" t="s">
        <v>94</v>
      </c>
      <c r="P24" t="s">
        <v>118</v>
      </c>
      <c r="Q24" t="s">
        <v>96</v>
      </c>
      <c r="V24">
        <v>0</v>
      </c>
      <c r="W24">
        <v>6</v>
      </c>
      <c r="X24">
        <v>6</v>
      </c>
      <c r="Y24">
        <v>13</v>
      </c>
      <c r="Z24">
        <v>74.287330799998003</v>
      </c>
      <c r="AK24">
        <v>74.266095500002805</v>
      </c>
      <c r="AL24">
        <v>74.287330799998003</v>
      </c>
      <c r="AM24">
        <v>74.287330799998003</v>
      </c>
      <c r="AN24">
        <v>74.287330799998003</v>
      </c>
      <c r="AO24">
        <v>7.8079999948386103E-3</v>
      </c>
      <c r="AP24">
        <v>84.207096400001305</v>
      </c>
      <c r="AQ24" t="s">
        <v>116</v>
      </c>
      <c r="AR24" t="s">
        <v>108</v>
      </c>
      <c r="AS24" t="s">
        <v>117</v>
      </c>
      <c r="AT24" t="s">
        <v>93</v>
      </c>
      <c r="AU24" t="s">
        <v>94</v>
      </c>
      <c r="AV24" t="s">
        <v>94</v>
      </c>
      <c r="AW24" t="s">
        <v>118</v>
      </c>
      <c r="AX24" t="s">
        <v>96</v>
      </c>
      <c r="BC24" t="s">
        <v>62</v>
      </c>
      <c r="BD24">
        <v>1</v>
      </c>
      <c r="BE24" t="s">
        <v>63</v>
      </c>
      <c r="BF24" t="s">
        <v>64</v>
      </c>
      <c r="BH24" t="s">
        <v>65</v>
      </c>
      <c r="BI24">
        <v>60.034712069252699</v>
      </c>
      <c r="BJ24" t="s">
        <v>66</v>
      </c>
    </row>
    <row r="25" spans="1:62" x14ac:dyDescent="0.35">
      <c r="B25">
        <v>7</v>
      </c>
      <c r="C25">
        <v>7</v>
      </c>
      <c r="D25">
        <v>0</v>
      </c>
      <c r="G25" t="s">
        <v>119</v>
      </c>
      <c r="H25" t="s">
        <v>81</v>
      </c>
      <c r="I25" t="s">
        <v>83</v>
      </c>
      <c r="J25" t="s">
        <v>81</v>
      </c>
      <c r="K25" t="s">
        <v>120</v>
      </c>
      <c r="L25" t="s">
        <v>121</v>
      </c>
      <c r="M25" t="s">
        <v>93</v>
      </c>
      <c r="N25" t="s">
        <v>94</v>
      </c>
      <c r="O25" t="s">
        <v>94</v>
      </c>
      <c r="P25" t="s">
        <v>122</v>
      </c>
      <c r="Q25" t="s">
        <v>96</v>
      </c>
      <c r="V25">
        <v>0</v>
      </c>
      <c r="W25">
        <v>7</v>
      </c>
      <c r="X25">
        <v>7</v>
      </c>
      <c r="Y25">
        <v>4</v>
      </c>
      <c r="Z25">
        <v>84.228918900014804</v>
      </c>
      <c r="AK25">
        <v>84.213889800012097</v>
      </c>
      <c r="AL25">
        <v>84.228918900014804</v>
      </c>
      <c r="AM25">
        <v>84.228918900014804</v>
      </c>
      <c r="AN25">
        <v>84.228918900014804</v>
      </c>
      <c r="AO25">
        <v>6.5860000031534504E-3</v>
      </c>
      <c r="AP25">
        <v>88.206236600002697</v>
      </c>
      <c r="AQ25" t="s">
        <v>81</v>
      </c>
      <c r="AR25" t="s">
        <v>120</v>
      </c>
      <c r="AS25" t="s">
        <v>121</v>
      </c>
      <c r="AT25" t="s">
        <v>93</v>
      </c>
      <c r="AU25" t="s">
        <v>94</v>
      </c>
      <c r="AV25" t="s">
        <v>94</v>
      </c>
      <c r="AW25" t="s">
        <v>122</v>
      </c>
      <c r="AX25" t="s">
        <v>96</v>
      </c>
      <c r="BC25" t="s">
        <v>62</v>
      </c>
      <c r="BD25">
        <v>1</v>
      </c>
      <c r="BE25" t="s">
        <v>63</v>
      </c>
      <c r="BF25" t="s">
        <v>64</v>
      </c>
      <c r="BH25" t="s">
        <v>65</v>
      </c>
      <c r="BI25">
        <v>60.034712069252699</v>
      </c>
      <c r="BJ25" t="s">
        <v>66</v>
      </c>
    </row>
    <row r="26" spans="1:62" x14ac:dyDescent="0.35">
      <c r="B26">
        <v>8</v>
      </c>
      <c r="C26">
        <v>8</v>
      </c>
      <c r="D26">
        <v>0</v>
      </c>
      <c r="G26" t="s">
        <v>123</v>
      </c>
      <c r="H26" t="s">
        <v>77</v>
      </c>
      <c r="I26" t="s">
        <v>83</v>
      </c>
      <c r="J26" t="s">
        <v>77</v>
      </c>
      <c r="K26" t="s">
        <v>120</v>
      </c>
      <c r="L26" t="s">
        <v>121</v>
      </c>
      <c r="M26" t="s">
        <v>93</v>
      </c>
      <c r="N26" t="s">
        <v>94</v>
      </c>
      <c r="O26" t="s">
        <v>94</v>
      </c>
      <c r="P26" t="s">
        <v>124</v>
      </c>
      <c r="Q26" t="s">
        <v>96</v>
      </c>
      <c r="V26">
        <v>0</v>
      </c>
      <c r="W26">
        <v>8</v>
      </c>
      <c r="X26">
        <v>8</v>
      </c>
      <c r="Y26">
        <v>5</v>
      </c>
      <c r="Z26">
        <v>88.227363499987405</v>
      </c>
      <c r="AK26">
        <v>88.212607199995503</v>
      </c>
      <c r="AL26">
        <v>88.227363499987405</v>
      </c>
      <c r="AM26">
        <v>88.227363499987405</v>
      </c>
      <c r="AN26">
        <v>88.227363499987405</v>
      </c>
      <c r="AO26">
        <v>6.0651999956462498E-3</v>
      </c>
      <c r="AP26">
        <v>93.138570400013094</v>
      </c>
      <c r="AQ26" t="s">
        <v>77</v>
      </c>
      <c r="AR26" t="s">
        <v>120</v>
      </c>
      <c r="AS26" t="s">
        <v>121</v>
      </c>
      <c r="AT26" t="s">
        <v>93</v>
      </c>
      <c r="AU26" t="s">
        <v>94</v>
      </c>
      <c r="AV26" t="s">
        <v>94</v>
      </c>
      <c r="AW26" t="s">
        <v>124</v>
      </c>
      <c r="AX26" t="s">
        <v>96</v>
      </c>
      <c r="BC26" t="s">
        <v>62</v>
      </c>
      <c r="BD26">
        <v>1</v>
      </c>
      <c r="BE26" t="s">
        <v>63</v>
      </c>
      <c r="BF26" t="s">
        <v>64</v>
      </c>
      <c r="BH26" t="s">
        <v>65</v>
      </c>
      <c r="BI26">
        <v>60.034712069252699</v>
      </c>
      <c r="BJ26" t="s">
        <v>66</v>
      </c>
    </row>
    <row r="27" spans="1:62" x14ac:dyDescent="0.35">
      <c r="B27">
        <v>9</v>
      </c>
      <c r="C27">
        <v>9</v>
      </c>
      <c r="D27">
        <v>0</v>
      </c>
      <c r="G27" t="s">
        <v>125</v>
      </c>
      <c r="H27" t="s">
        <v>75</v>
      </c>
      <c r="I27" t="s">
        <v>83</v>
      </c>
      <c r="J27" t="s">
        <v>75</v>
      </c>
      <c r="K27" t="s">
        <v>120</v>
      </c>
      <c r="L27" t="s">
        <v>121</v>
      </c>
      <c r="M27" t="s">
        <v>93</v>
      </c>
      <c r="N27" t="s">
        <v>94</v>
      </c>
      <c r="O27" t="s">
        <v>94</v>
      </c>
      <c r="P27" t="s">
        <v>126</v>
      </c>
      <c r="Q27" t="s">
        <v>96</v>
      </c>
      <c r="V27">
        <v>0</v>
      </c>
      <c r="W27">
        <v>9</v>
      </c>
      <c r="X27">
        <v>9</v>
      </c>
      <c r="Y27">
        <v>0</v>
      </c>
      <c r="Z27">
        <v>93.162225300009595</v>
      </c>
      <c r="AK27">
        <v>93.144690199987906</v>
      </c>
      <c r="AL27">
        <v>93.162225300009595</v>
      </c>
      <c r="AM27">
        <v>93.162225300009595</v>
      </c>
      <c r="AN27">
        <v>93.162225300009595</v>
      </c>
      <c r="AO27">
        <v>5.9245000011287604E-3</v>
      </c>
      <c r="AP27">
        <v>96.256471300002801</v>
      </c>
      <c r="AQ27" t="s">
        <v>75</v>
      </c>
      <c r="AR27" t="s">
        <v>120</v>
      </c>
      <c r="AS27" t="s">
        <v>121</v>
      </c>
      <c r="AT27" t="s">
        <v>93</v>
      </c>
      <c r="AU27" t="s">
        <v>94</v>
      </c>
      <c r="AV27" t="s">
        <v>94</v>
      </c>
      <c r="AW27" t="s">
        <v>126</v>
      </c>
      <c r="AX27" t="s">
        <v>96</v>
      </c>
      <c r="BC27" t="s">
        <v>62</v>
      </c>
      <c r="BD27">
        <v>1</v>
      </c>
      <c r="BE27" t="s">
        <v>63</v>
      </c>
      <c r="BF27" t="s">
        <v>64</v>
      </c>
      <c r="BH27" t="s">
        <v>65</v>
      </c>
      <c r="BI27">
        <v>60.034712069252699</v>
      </c>
      <c r="BJ27" t="s">
        <v>66</v>
      </c>
    </row>
    <row r="28" spans="1:62" x14ac:dyDescent="0.35">
      <c r="B28">
        <v>10</v>
      </c>
      <c r="C28">
        <v>10</v>
      </c>
      <c r="D28">
        <v>0</v>
      </c>
      <c r="G28" t="s">
        <v>127</v>
      </c>
      <c r="H28" t="s">
        <v>128</v>
      </c>
      <c r="I28" t="s">
        <v>129</v>
      </c>
      <c r="J28" t="s">
        <v>130</v>
      </c>
      <c r="K28" t="s">
        <v>120</v>
      </c>
      <c r="L28" t="s">
        <v>121</v>
      </c>
      <c r="M28" t="s">
        <v>93</v>
      </c>
      <c r="N28" t="s">
        <v>94</v>
      </c>
      <c r="O28" t="s">
        <v>94</v>
      </c>
      <c r="P28" t="s">
        <v>131</v>
      </c>
      <c r="Q28" t="s">
        <v>96</v>
      </c>
      <c r="V28">
        <v>0</v>
      </c>
      <c r="W28">
        <v>10</v>
      </c>
      <c r="X28">
        <v>10</v>
      </c>
      <c r="Y28">
        <v>15</v>
      </c>
      <c r="Z28">
        <v>96.275037499988599</v>
      </c>
      <c r="AK28">
        <v>96.261135200009406</v>
      </c>
      <c r="AL28">
        <v>96.275037499988599</v>
      </c>
      <c r="AM28">
        <v>96.275037499988599</v>
      </c>
      <c r="AN28">
        <v>96.275037499988599</v>
      </c>
      <c r="AO28">
        <v>4.4928000133950203E-3</v>
      </c>
      <c r="AP28">
        <v>102.872900299989</v>
      </c>
      <c r="AQ28" t="s">
        <v>130</v>
      </c>
      <c r="AR28" t="s">
        <v>120</v>
      </c>
      <c r="AS28" t="s">
        <v>121</v>
      </c>
      <c r="AT28" t="s">
        <v>93</v>
      </c>
      <c r="AU28" t="s">
        <v>94</v>
      </c>
      <c r="AV28" t="s">
        <v>94</v>
      </c>
      <c r="AW28" t="s">
        <v>131</v>
      </c>
      <c r="AX28" t="s">
        <v>96</v>
      </c>
      <c r="BC28" t="s">
        <v>62</v>
      </c>
      <c r="BD28">
        <v>1</v>
      </c>
      <c r="BE28" t="s">
        <v>63</v>
      </c>
      <c r="BF28" t="s">
        <v>64</v>
      </c>
      <c r="BH28" t="s">
        <v>65</v>
      </c>
      <c r="BI28">
        <v>60.034712069252699</v>
      </c>
      <c r="BJ28" t="s">
        <v>66</v>
      </c>
    </row>
    <row r="29" spans="1:62" x14ac:dyDescent="0.35">
      <c r="B29">
        <v>11</v>
      </c>
      <c r="C29">
        <v>11</v>
      </c>
      <c r="D29">
        <v>0</v>
      </c>
      <c r="G29" t="s">
        <v>132</v>
      </c>
      <c r="H29" t="s">
        <v>78</v>
      </c>
      <c r="I29" t="s">
        <v>83</v>
      </c>
      <c r="J29" t="s">
        <v>78</v>
      </c>
      <c r="K29" t="s">
        <v>120</v>
      </c>
      <c r="L29" t="s">
        <v>121</v>
      </c>
      <c r="M29" t="s">
        <v>93</v>
      </c>
      <c r="N29" t="s">
        <v>94</v>
      </c>
      <c r="O29" t="s">
        <v>94</v>
      </c>
      <c r="P29" t="s">
        <v>133</v>
      </c>
      <c r="Q29" t="s">
        <v>96</v>
      </c>
      <c r="V29">
        <v>0</v>
      </c>
      <c r="W29">
        <v>11</v>
      </c>
      <c r="X29">
        <v>11</v>
      </c>
      <c r="Y29">
        <v>7</v>
      </c>
      <c r="Z29">
        <v>102.894079699995</v>
      </c>
      <c r="AK29">
        <v>102.88019190001</v>
      </c>
      <c r="AL29">
        <v>102.894079699995</v>
      </c>
      <c r="AM29">
        <v>102.894079699995</v>
      </c>
      <c r="AN29">
        <v>102.894079699995</v>
      </c>
      <c r="AO29">
        <v>7.0296000048983799E-3</v>
      </c>
      <c r="AP29">
        <v>105.655483000009</v>
      </c>
      <c r="AQ29" t="s">
        <v>78</v>
      </c>
      <c r="AR29" t="s">
        <v>120</v>
      </c>
      <c r="AS29" t="s">
        <v>121</v>
      </c>
      <c r="AT29" t="s">
        <v>93</v>
      </c>
      <c r="AU29" t="s">
        <v>94</v>
      </c>
      <c r="AV29" t="s">
        <v>94</v>
      </c>
      <c r="AW29" t="s">
        <v>133</v>
      </c>
      <c r="AX29" t="s">
        <v>96</v>
      </c>
      <c r="BC29" t="s">
        <v>62</v>
      </c>
      <c r="BD29">
        <v>1</v>
      </c>
      <c r="BE29" t="s">
        <v>63</v>
      </c>
      <c r="BF29" t="s">
        <v>64</v>
      </c>
      <c r="BH29" t="s">
        <v>65</v>
      </c>
      <c r="BI29">
        <v>60.034712069252699</v>
      </c>
      <c r="BJ29" t="s">
        <v>66</v>
      </c>
    </row>
    <row r="30" spans="1:62" x14ac:dyDescent="0.35">
      <c r="B30">
        <v>12</v>
      </c>
      <c r="C30">
        <v>12</v>
      </c>
      <c r="D30">
        <v>0</v>
      </c>
      <c r="G30" t="s">
        <v>134</v>
      </c>
      <c r="H30" t="s">
        <v>135</v>
      </c>
      <c r="I30" t="s">
        <v>129</v>
      </c>
      <c r="J30" t="s">
        <v>135</v>
      </c>
      <c r="K30" t="s">
        <v>120</v>
      </c>
      <c r="L30" t="s">
        <v>121</v>
      </c>
      <c r="M30" t="s">
        <v>93</v>
      </c>
      <c r="N30" t="s">
        <v>94</v>
      </c>
      <c r="O30" t="s">
        <v>94</v>
      </c>
      <c r="P30" t="s">
        <v>136</v>
      </c>
      <c r="Q30" t="s">
        <v>96</v>
      </c>
      <c r="V30">
        <v>0</v>
      </c>
      <c r="W30">
        <v>12</v>
      </c>
      <c r="X30">
        <v>12</v>
      </c>
      <c r="Y30">
        <v>19</v>
      </c>
      <c r="Z30">
        <v>105.683074900007</v>
      </c>
      <c r="AK30">
        <v>105.662103500013</v>
      </c>
      <c r="AL30">
        <v>105.683074900007</v>
      </c>
      <c r="AM30">
        <v>105.683074900007</v>
      </c>
      <c r="AN30">
        <v>105.683074900007</v>
      </c>
      <c r="AO30">
        <v>6.4453000086359602E-3</v>
      </c>
      <c r="AP30">
        <v>108.53876309999001</v>
      </c>
      <c r="AQ30" t="s">
        <v>135</v>
      </c>
      <c r="AR30" t="s">
        <v>120</v>
      </c>
      <c r="AS30" t="s">
        <v>121</v>
      </c>
      <c r="AT30" t="s">
        <v>93</v>
      </c>
      <c r="AU30" t="s">
        <v>94</v>
      </c>
      <c r="AV30" t="s">
        <v>94</v>
      </c>
      <c r="AW30" t="s">
        <v>136</v>
      </c>
      <c r="AX30" t="s">
        <v>96</v>
      </c>
      <c r="BC30" t="s">
        <v>62</v>
      </c>
      <c r="BD30">
        <v>1</v>
      </c>
      <c r="BE30" t="s">
        <v>63</v>
      </c>
      <c r="BF30" t="s">
        <v>64</v>
      </c>
      <c r="BH30" t="s">
        <v>65</v>
      </c>
      <c r="BI30">
        <v>60.034712069252699</v>
      </c>
      <c r="BJ30" t="s">
        <v>66</v>
      </c>
    </row>
    <row r="31" spans="1:62" x14ac:dyDescent="0.35">
      <c r="B31">
        <v>13</v>
      </c>
      <c r="C31">
        <v>13</v>
      </c>
      <c r="D31">
        <v>0</v>
      </c>
      <c r="G31" t="s">
        <v>137</v>
      </c>
      <c r="H31" t="s">
        <v>138</v>
      </c>
      <c r="I31" t="s">
        <v>83</v>
      </c>
      <c r="J31" t="s">
        <v>138</v>
      </c>
      <c r="K31" t="s">
        <v>120</v>
      </c>
      <c r="L31" t="s">
        <v>121</v>
      </c>
      <c r="M31" t="s">
        <v>93</v>
      </c>
      <c r="N31" t="s">
        <v>94</v>
      </c>
      <c r="O31" t="s">
        <v>94</v>
      </c>
      <c r="P31" t="s">
        <v>139</v>
      </c>
      <c r="Q31" t="s">
        <v>96</v>
      </c>
      <c r="V31">
        <v>0</v>
      </c>
      <c r="W31">
        <v>13</v>
      </c>
      <c r="X31">
        <v>13</v>
      </c>
      <c r="Y31">
        <v>2</v>
      </c>
      <c r="Z31">
        <v>108.56107590001101</v>
      </c>
      <c r="AK31">
        <v>108.545897000003</v>
      </c>
      <c r="AL31">
        <v>108.56107590001101</v>
      </c>
      <c r="AM31">
        <v>108.56107590001101</v>
      </c>
      <c r="AN31">
        <v>108.56107590001101</v>
      </c>
      <c r="AO31">
        <v>6.9072999758645797E-3</v>
      </c>
      <c r="AP31">
        <v>112.738179500011</v>
      </c>
      <c r="AQ31" t="s">
        <v>138</v>
      </c>
      <c r="AR31" t="s">
        <v>120</v>
      </c>
      <c r="AS31" t="s">
        <v>121</v>
      </c>
      <c r="AT31" t="s">
        <v>93</v>
      </c>
      <c r="AU31" t="s">
        <v>94</v>
      </c>
      <c r="AV31" t="s">
        <v>94</v>
      </c>
      <c r="AW31" t="s">
        <v>139</v>
      </c>
      <c r="AX31" t="s">
        <v>96</v>
      </c>
      <c r="BC31" t="s">
        <v>62</v>
      </c>
      <c r="BD31">
        <v>1</v>
      </c>
      <c r="BE31" t="s">
        <v>63</v>
      </c>
      <c r="BF31" t="s">
        <v>64</v>
      </c>
      <c r="BH31" t="s">
        <v>65</v>
      </c>
      <c r="BI31">
        <v>60.034712069252699</v>
      </c>
      <c r="BJ31" t="s">
        <v>66</v>
      </c>
    </row>
    <row r="32" spans="1:62" x14ac:dyDescent="0.35">
      <c r="B32">
        <v>14</v>
      </c>
      <c r="C32">
        <v>14</v>
      </c>
      <c r="D32">
        <v>0</v>
      </c>
      <c r="G32" t="s">
        <v>140</v>
      </c>
      <c r="H32" t="s">
        <v>141</v>
      </c>
      <c r="I32" t="s">
        <v>129</v>
      </c>
      <c r="J32" t="s">
        <v>141</v>
      </c>
      <c r="K32" t="s">
        <v>120</v>
      </c>
      <c r="L32" t="s">
        <v>121</v>
      </c>
      <c r="M32" t="s">
        <v>93</v>
      </c>
      <c r="N32" t="s">
        <v>94</v>
      </c>
      <c r="O32" t="s">
        <v>94</v>
      </c>
      <c r="P32" t="s">
        <v>142</v>
      </c>
      <c r="Q32" t="s">
        <v>96</v>
      </c>
      <c r="V32">
        <v>0</v>
      </c>
      <c r="W32">
        <v>14</v>
      </c>
      <c r="X32">
        <v>14</v>
      </c>
      <c r="Y32">
        <v>16</v>
      </c>
      <c r="Z32">
        <v>112.760276799992</v>
      </c>
      <c r="AK32">
        <v>112.74467059999</v>
      </c>
      <c r="AL32">
        <v>112.760276799992</v>
      </c>
      <c r="AM32">
        <v>112.760276799992</v>
      </c>
      <c r="AN32">
        <v>112.760276799992</v>
      </c>
      <c r="AO32">
        <v>6.3109000038821198E-3</v>
      </c>
      <c r="AP32">
        <v>116.005674199986</v>
      </c>
      <c r="AQ32" t="s">
        <v>141</v>
      </c>
      <c r="AR32" t="s">
        <v>120</v>
      </c>
      <c r="AS32" t="s">
        <v>121</v>
      </c>
      <c r="AT32" t="s">
        <v>93</v>
      </c>
      <c r="AU32" t="s">
        <v>94</v>
      </c>
      <c r="AV32" t="s">
        <v>94</v>
      </c>
      <c r="AW32" t="s">
        <v>142</v>
      </c>
      <c r="AX32" t="s">
        <v>96</v>
      </c>
      <c r="BC32" t="s">
        <v>62</v>
      </c>
      <c r="BD32">
        <v>1</v>
      </c>
      <c r="BE32" t="s">
        <v>63</v>
      </c>
      <c r="BF32" t="s">
        <v>64</v>
      </c>
      <c r="BH32" t="s">
        <v>65</v>
      </c>
      <c r="BI32">
        <v>60.034712069252699</v>
      </c>
      <c r="BJ32" t="s">
        <v>66</v>
      </c>
    </row>
    <row r="33" spans="2:62" x14ac:dyDescent="0.35">
      <c r="B33">
        <v>15</v>
      </c>
      <c r="C33">
        <v>15</v>
      </c>
      <c r="D33">
        <v>0</v>
      </c>
      <c r="G33" t="s">
        <v>143</v>
      </c>
      <c r="H33" t="s">
        <v>144</v>
      </c>
      <c r="I33" t="s">
        <v>129</v>
      </c>
      <c r="J33" t="s">
        <v>144</v>
      </c>
      <c r="K33" t="s">
        <v>120</v>
      </c>
      <c r="L33" t="s">
        <v>121</v>
      </c>
      <c r="M33" t="s">
        <v>93</v>
      </c>
      <c r="N33" t="s">
        <v>94</v>
      </c>
      <c r="O33" t="s">
        <v>94</v>
      </c>
      <c r="P33" t="s">
        <v>145</v>
      </c>
      <c r="Q33" t="s">
        <v>96</v>
      </c>
      <c r="V33">
        <v>0</v>
      </c>
      <c r="W33">
        <v>15</v>
      </c>
      <c r="X33">
        <v>15</v>
      </c>
      <c r="Y33">
        <v>18</v>
      </c>
      <c r="Z33">
        <v>116.02710860001299</v>
      </c>
      <c r="AK33">
        <v>116.012515999987</v>
      </c>
      <c r="AL33">
        <v>116.02710860001299</v>
      </c>
      <c r="AM33">
        <v>116.02710860001299</v>
      </c>
      <c r="AN33">
        <v>116.02710860001299</v>
      </c>
      <c r="AO33">
        <v>6.6308999957982399E-3</v>
      </c>
      <c r="AP33">
        <v>119.321951799996</v>
      </c>
      <c r="AQ33" t="s">
        <v>144</v>
      </c>
      <c r="AR33" t="s">
        <v>120</v>
      </c>
      <c r="AS33" t="s">
        <v>121</v>
      </c>
      <c r="AT33" t="s">
        <v>93</v>
      </c>
      <c r="AU33" t="s">
        <v>94</v>
      </c>
      <c r="AV33" t="s">
        <v>94</v>
      </c>
      <c r="AW33" t="s">
        <v>145</v>
      </c>
      <c r="AX33" t="s">
        <v>96</v>
      </c>
      <c r="BC33" t="s">
        <v>62</v>
      </c>
      <c r="BD33">
        <v>1</v>
      </c>
      <c r="BE33" t="s">
        <v>63</v>
      </c>
      <c r="BF33" t="s">
        <v>64</v>
      </c>
      <c r="BH33" t="s">
        <v>65</v>
      </c>
      <c r="BI33">
        <v>60.034712069252699</v>
      </c>
      <c r="BJ33" t="s">
        <v>66</v>
      </c>
    </row>
    <row r="34" spans="2:62" x14ac:dyDescent="0.35">
      <c r="B34">
        <v>16</v>
      </c>
      <c r="C34">
        <v>16</v>
      </c>
      <c r="D34">
        <v>0</v>
      </c>
      <c r="G34" t="s">
        <v>146</v>
      </c>
      <c r="H34" t="s">
        <v>70</v>
      </c>
      <c r="I34" t="s">
        <v>83</v>
      </c>
      <c r="J34" t="s">
        <v>147</v>
      </c>
      <c r="K34" t="s">
        <v>120</v>
      </c>
      <c r="L34" t="s">
        <v>121</v>
      </c>
      <c r="M34" t="s">
        <v>93</v>
      </c>
      <c r="N34" t="s">
        <v>94</v>
      </c>
      <c r="O34" t="s">
        <v>94</v>
      </c>
      <c r="P34" t="s">
        <v>148</v>
      </c>
      <c r="Q34" t="s">
        <v>96</v>
      </c>
      <c r="V34">
        <v>0</v>
      </c>
      <c r="W34">
        <v>16</v>
      </c>
      <c r="X34">
        <v>16</v>
      </c>
      <c r="Y34">
        <v>11</v>
      </c>
      <c r="Z34">
        <v>119.346192900004</v>
      </c>
      <c r="AK34">
        <v>119.328463999991</v>
      </c>
      <c r="AL34">
        <v>119.346192900004</v>
      </c>
      <c r="AM34">
        <v>119.346192900004</v>
      </c>
      <c r="AN34">
        <v>119.346192900004</v>
      </c>
      <c r="AO34">
        <v>6.24200000311248E-3</v>
      </c>
      <c r="AP34">
        <v>128.58923320000699</v>
      </c>
      <c r="AQ34" t="s">
        <v>147</v>
      </c>
      <c r="AR34" t="s">
        <v>120</v>
      </c>
      <c r="AS34" t="s">
        <v>121</v>
      </c>
      <c r="AT34" t="s">
        <v>93</v>
      </c>
      <c r="AU34" t="s">
        <v>94</v>
      </c>
      <c r="AV34" t="s">
        <v>94</v>
      </c>
      <c r="AW34" t="s">
        <v>148</v>
      </c>
      <c r="AX34" t="s">
        <v>96</v>
      </c>
      <c r="BC34" t="s">
        <v>62</v>
      </c>
      <c r="BD34">
        <v>1</v>
      </c>
      <c r="BE34" t="s">
        <v>63</v>
      </c>
      <c r="BF34" t="s">
        <v>64</v>
      </c>
      <c r="BH34" t="s">
        <v>65</v>
      </c>
      <c r="BI34">
        <v>60.034712069252699</v>
      </c>
      <c r="BJ34" t="s">
        <v>66</v>
      </c>
    </row>
    <row r="35" spans="2:62" x14ac:dyDescent="0.35">
      <c r="B35">
        <v>17</v>
      </c>
      <c r="C35">
        <v>17</v>
      </c>
      <c r="D35">
        <v>0</v>
      </c>
      <c r="G35" t="s">
        <v>149</v>
      </c>
      <c r="H35" t="s">
        <v>68</v>
      </c>
      <c r="I35" t="s">
        <v>83</v>
      </c>
      <c r="J35" t="s">
        <v>68</v>
      </c>
      <c r="K35" t="s">
        <v>120</v>
      </c>
      <c r="L35" t="s">
        <v>121</v>
      </c>
      <c r="M35" t="s">
        <v>93</v>
      </c>
      <c r="N35" t="s">
        <v>94</v>
      </c>
      <c r="O35" t="s">
        <v>94</v>
      </c>
      <c r="P35" t="s">
        <v>150</v>
      </c>
      <c r="Q35" t="s">
        <v>96</v>
      </c>
      <c r="V35">
        <v>0</v>
      </c>
      <c r="W35">
        <v>17</v>
      </c>
      <c r="X35">
        <v>17</v>
      </c>
      <c r="Y35">
        <v>14</v>
      </c>
      <c r="Z35">
        <v>128.61142110000901</v>
      </c>
      <c r="AK35">
        <v>128.59616320001001</v>
      </c>
      <c r="AL35">
        <v>128.61142110000901</v>
      </c>
      <c r="AM35">
        <v>128.61142110000901</v>
      </c>
      <c r="AN35">
        <v>128.61142110000901</v>
      </c>
      <c r="AO35">
        <v>6.6107999882660798E-3</v>
      </c>
      <c r="AP35">
        <v>133.69966939999699</v>
      </c>
      <c r="AQ35" t="s">
        <v>68</v>
      </c>
      <c r="AR35" t="s">
        <v>120</v>
      </c>
      <c r="AS35" t="s">
        <v>121</v>
      </c>
      <c r="AT35" t="s">
        <v>93</v>
      </c>
      <c r="AU35" t="s">
        <v>94</v>
      </c>
      <c r="AV35" t="s">
        <v>94</v>
      </c>
      <c r="AW35" t="s">
        <v>150</v>
      </c>
      <c r="AX35" t="s">
        <v>96</v>
      </c>
      <c r="BC35" t="s">
        <v>62</v>
      </c>
      <c r="BD35">
        <v>1</v>
      </c>
      <c r="BE35" t="s">
        <v>63</v>
      </c>
      <c r="BF35" t="s">
        <v>64</v>
      </c>
      <c r="BH35" t="s">
        <v>65</v>
      </c>
      <c r="BI35">
        <v>60.034712069252699</v>
      </c>
      <c r="BJ35" t="s">
        <v>66</v>
      </c>
    </row>
    <row r="36" spans="2:62" x14ac:dyDescent="0.35">
      <c r="B36">
        <v>18</v>
      </c>
      <c r="C36">
        <v>18</v>
      </c>
      <c r="D36">
        <v>0</v>
      </c>
      <c r="G36" t="s">
        <v>151</v>
      </c>
      <c r="H36" t="s">
        <v>152</v>
      </c>
      <c r="I36" t="s">
        <v>129</v>
      </c>
      <c r="J36" t="s">
        <v>152</v>
      </c>
      <c r="K36" t="s">
        <v>120</v>
      </c>
      <c r="L36" t="s">
        <v>121</v>
      </c>
      <c r="M36" t="s">
        <v>93</v>
      </c>
      <c r="N36" t="s">
        <v>94</v>
      </c>
      <c r="O36" t="s">
        <v>94</v>
      </c>
      <c r="P36" t="s">
        <v>153</v>
      </c>
      <c r="Q36" t="s">
        <v>96</v>
      </c>
      <c r="V36">
        <v>0</v>
      </c>
      <c r="W36">
        <v>18</v>
      </c>
      <c r="X36">
        <v>18</v>
      </c>
      <c r="Y36">
        <v>17</v>
      </c>
      <c r="Z36">
        <v>133.71748540000399</v>
      </c>
      <c r="AK36">
        <v>133.706109999999</v>
      </c>
      <c r="AL36">
        <v>133.71748540000399</v>
      </c>
      <c r="AM36">
        <v>133.71748540000399</v>
      </c>
      <c r="AN36">
        <v>133.71748540000399</v>
      </c>
      <c r="AO36">
        <v>6.2881000048946502E-3</v>
      </c>
      <c r="AP36">
        <v>136.72107699999401</v>
      </c>
      <c r="AQ36" t="s">
        <v>152</v>
      </c>
      <c r="AR36" t="s">
        <v>120</v>
      </c>
      <c r="AS36" t="s">
        <v>121</v>
      </c>
      <c r="AT36" t="s">
        <v>93</v>
      </c>
      <c r="AU36" t="s">
        <v>94</v>
      </c>
      <c r="AV36" t="s">
        <v>94</v>
      </c>
      <c r="AW36" t="s">
        <v>153</v>
      </c>
      <c r="AX36" t="s">
        <v>96</v>
      </c>
      <c r="BC36" t="s">
        <v>62</v>
      </c>
      <c r="BD36">
        <v>1</v>
      </c>
      <c r="BE36" t="s">
        <v>63</v>
      </c>
      <c r="BF36" t="s">
        <v>64</v>
      </c>
      <c r="BH36" t="s">
        <v>65</v>
      </c>
      <c r="BI36">
        <v>60.034712069252699</v>
      </c>
      <c r="BJ36" t="s">
        <v>66</v>
      </c>
    </row>
    <row r="37" spans="2:62" x14ac:dyDescent="0.35">
      <c r="B37">
        <v>19</v>
      </c>
      <c r="C37">
        <v>19</v>
      </c>
      <c r="D37">
        <v>0</v>
      </c>
      <c r="G37" t="s">
        <v>154</v>
      </c>
      <c r="H37" t="s">
        <v>80</v>
      </c>
      <c r="I37" t="s">
        <v>83</v>
      </c>
      <c r="J37" t="s">
        <v>80</v>
      </c>
      <c r="K37" t="s">
        <v>120</v>
      </c>
      <c r="L37" t="s">
        <v>121</v>
      </c>
      <c r="M37" t="s">
        <v>93</v>
      </c>
      <c r="N37" t="s">
        <v>94</v>
      </c>
      <c r="O37" t="s">
        <v>94</v>
      </c>
      <c r="P37" t="s">
        <v>155</v>
      </c>
      <c r="Q37" t="s">
        <v>96</v>
      </c>
      <c r="V37">
        <v>0</v>
      </c>
      <c r="W37">
        <v>19</v>
      </c>
      <c r="X37">
        <v>19</v>
      </c>
      <c r="Y37">
        <v>1</v>
      </c>
      <c r="Z37">
        <v>136.741431800008</v>
      </c>
      <c r="AK37">
        <v>136.72750969999399</v>
      </c>
      <c r="AL37">
        <v>136.741431800008</v>
      </c>
      <c r="AM37">
        <v>136.741431800008</v>
      </c>
      <c r="AN37">
        <v>136.741431800008</v>
      </c>
      <c r="AO37">
        <v>6.0979000118095402E-3</v>
      </c>
      <c r="AP37">
        <v>144.721721400012</v>
      </c>
      <c r="AQ37" t="s">
        <v>80</v>
      </c>
      <c r="AR37" t="s">
        <v>120</v>
      </c>
      <c r="AS37" t="s">
        <v>121</v>
      </c>
      <c r="AT37" t="s">
        <v>93</v>
      </c>
      <c r="AU37" t="s">
        <v>94</v>
      </c>
      <c r="AV37" t="s">
        <v>94</v>
      </c>
      <c r="AW37" t="s">
        <v>155</v>
      </c>
      <c r="AX37" t="s">
        <v>96</v>
      </c>
      <c r="BC37" t="s">
        <v>62</v>
      </c>
      <c r="BD37">
        <v>1</v>
      </c>
      <c r="BE37" t="s">
        <v>63</v>
      </c>
      <c r="BF37" t="s">
        <v>64</v>
      </c>
      <c r="BH37" t="s">
        <v>65</v>
      </c>
      <c r="BI37">
        <v>60.034712069252699</v>
      </c>
      <c r="BJ37" t="s">
        <v>66</v>
      </c>
    </row>
    <row r="38" spans="2:62" x14ac:dyDescent="0.35">
      <c r="AZ38">
        <v>144.72220009999</v>
      </c>
      <c r="BA38">
        <v>144.738375899993</v>
      </c>
      <c r="BB38">
        <v>146.73697810000101</v>
      </c>
      <c r="BC38" t="s">
        <v>62</v>
      </c>
      <c r="BD38">
        <v>1</v>
      </c>
      <c r="BE38" t="s">
        <v>63</v>
      </c>
      <c r="BF38" t="s">
        <v>64</v>
      </c>
      <c r="BH38" t="s">
        <v>65</v>
      </c>
      <c r="BI38">
        <v>60.034712069252699</v>
      </c>
      <c r="BJ38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F82E-7AC9-4DF9-AC12-A6E919853156}">
  <dimension ref="A1:K21"/>
  <sheetViews>
    <sheetView tabSelected="1" topLeftCell="C1" workbookViewId="0">
      <selection activeCell="K9" sqref="K9"/>
    </sheetView>
  </sheetViews>
  <sheetFormatPr defaultRowHeight="14.5" x14ac:dyDescent="0.35"/>
  <sheetData>
    <row r="1" spans="1:11" x14ac:dyDescent="0.35">
      <c r="A1" t="s">
        <v>6</v>
      </c>
      <c r="B1" t="s">
        <v>7</v>
      </c>
      <c r="C1" t="s">
        <v>8</v>
      </c>
      <c r="D1" t="s">
        <v>9</v>
      </c>
    </row>
    <row r="2" spans="1:11" x14ac:dyDescent="0.35">
      <c r="A2" t="s">
        <v>127</v>
      </c>
      <c r="B2" t="s">
        <v>128</v>
      </c>
      <c r="C2" t="s">
        <v>129</v>
      </c>
      <c r="D2" t="s">
        <v>130</v>
      </c>
    </row>
    <row r="3" spans="1:11" x14ac:dyDescent="0.35">
      <c r="A3" t="s">
        <v>134</v>
      </c>
      <c r="B3" t="s">
        <v>135</v>
      </c>
      <c r="C3" t="s">
        <v>129</v>
      </c>
      <c r="D3" t="s">
        <v>135</v>
      </c>
      <c r="E3">
        <v>1</v>
      </c>
    </row>
    <row r="4" spans="1:11" x14ac:dyDescent="0.35">
      <c r="A4" t="s">
        <v>140</v>
      </c>
      <c r="B4" t="s">
        <v>141</v>
      </c>
      <c r="C4" t="s">
        <v>129</v>
      </c>
      <c r="D4" t="s">
        <v>141</v>
      </c>
      <c r="E4">
        <v>1</v>
      </c>
    </row>
    <row r="5" spans="1:11" x14ac:dyDescent="0.35">
      <c r="A5" t="s">
        <v>143</v>
      </c>
      <c r="B5" t="s">
        <v>144</v>
      </c>
      <c r="C5" t="s">
        <v>129</v>
      </c>
      <c r="D5" t="s">
        <v>144</v>
      </c>
      <c r="E5">
        <v>1</v>
      </c>
    </row>
    <row r="6" spans="1:11" x14ac:dyDescent="0.35">
      <c r="A6" t="s">
        <v>151</v>
      </c>
      <c r="B6" t="s">
        <v>152</v>
      </c>
      <c r="C6" t="s">
        <v>129</v>
      </c>
      <c r="D6" t="s">
        <v>152</v>
      </c>
      <c r="E6">
        <v>1</v>
      </c>
      <c r="G6" t="s">
        <v>156</v>
      </c>
      <c r="H6">
        <v>4</v>
      </c>
      <c r="I6" t="s">
        <v>157</v>
      </c>
      <c r="K6">
        <f>H6/5</f>
        <v>0.8</v>
      </c>
    </row>
    <row r="7" spans="1:11" x14ac:dyDescent="0.35">
      <c r="A7" t="s">
        <v>82</v>
      </c>
      <c r="B7" t="s">
        <v>74</v>
      </c>
      <c r="C7" t="s">
        <v>83</v>
      </c>
      <c r="D7" t="s">
        <v>81</v>
      </c>
      <c r="G7" t="s">
        <v>158</v>
      </c>
      <c r="H7">
        <v>10</v>
      </c>
      <c r="I7" t="s">
        <v>157</v>
      </c>
      <c r="K7">
        <f>H7/15</f>
        <v>0.66666666666666663</v>
      </c>
    </row>
    <row r="8" spans="1:11" x14ac:dyDescent="0.35">
      <c r="A8" t="s">
        <v>90</v>
      </c>
      <c r="B8" t="s">
        <v>79</v>
      </c>
      <c r="C8" t="s">
        <v>83</v>
      </c>
      <c r="D8" t="s">
        <v>79</v>
      </c>
      <c r="E8">
        <v>1</v>
      </c>
      <c r="I8" t="s">
        <v>159</v>
      </c>
      <c r="K8">
        <f>K7-K6</f>
        <v>-0.13333333333333341</v>
      </c>
    </row>
    <row r="9" spans="1:11" x14ac:dyDescent="0.35">
      <c r="A9" t="s">
        <v>97</v>
      </c>
      <c r="B9" t="s">
        <v>71</v>
      </c>
      <c r="C9" t="s">
        <v>83</v>
      </c>
      <c r="D9" t="s">
        <v>98</v>
      </c>
    </row>
    <row r="10" spans="1:11" x14ac:dyDescent="0.35">
      <c r="A10" t="s">
        <v>100</v>
      </c>
      <c r="B10" t="s">
        <v>76</v>
      </c>
      <c r="C10" t="s">
        <v>83</v>
      </c>
      <c r="D10" t="s">
        <v>76</v>
      </c>
      <c r="E10">
        <v>1</v>
      </c>
    </row>
    <row r="11" spans="1:11" x14ac:dyDescent="0.35">
      <c r="A11" t="s">
        <v>107</v>
      </c>
      <c r="B11" t="s">
        <v>72</v>
      </c>
      <c r="C11" t="s">
        <v>83</v>
      </c>
      <c r="D11" t="s">
        <v>72</v>
      </c>
      <c r="E11">
        <v>1</v>
      </c>
    </row>
    <row r="12" spans="1:11" x14ac:dyDescent="0.35">
      <c r="A12" t="s">
        <v>111</v>
      </c>
      <c r="B12" t="s">
        <v>73</v>
      </c>
      <c r="C12" t="s">
        <v>83</v>
      </c>
      <c r="D12" t="s">
        <v>112</v>
      </c>
    </row>
    <row r="13" spans="1:11" x14ac:dyDescent="0.35">
      <c r="A13" t="s">
        <v>115</v>
      </c>
      <c r="B13" t="s">
        <v>69</v>
      </c>
      <c r="C13" t="s">
        <v>83</v>
      </c>
      <c r="D13" t="s">
        <v>116</v>
      </c>
    </row>
    <row r="14" spans="1:11" x14ac:dyDescent="0.35">
      <c r="A14" t="s">
        <v>119</v>
      </c>
      <c r="B14" t="s">
        <v>81</v>
      </c>
      <c r="C14" t="s">
        <v>83</v>
      </c>
      <c r="D14" t="s">
        <v>81</v>
      </c>
      <c r="E14">
        <v>1</v>
      </c>
    </row>
    <row r="15" spans="1:11" x14ac:dyDescent="0.35">
      <c r="A15" t="s">
        <v>123</v>
      </c>
      <c r="B15" t="s">
        <v>77</v>
      </c>
      <c r="C15" t="s">
        <v>83</v>
      </c>
      <c r="D15" t="s">
        <v>77</v>
      </c>
      <c r="E15">
        <v>1</v>
      </c>
    </row>
    <row r="16" spans="1:11" x14ac:dyDescent="0.35">
      <c r="A16" t="s">
        <v>125</v>
      </c>
      <c r="B16" t="s">
        <v>75</v>
      </c>
      <c r="C16" t="s">
        <v>83</v>
      </c>
      <c r="D16" t="s">
        <v>75</v>
      </c>
      <c r="E16">
        <v>1</v>
      </c>
    </row>
    <row r="17" spans="1:5" x14ac:dyDescent="0.35">
      <c r="A17" t="s">
        <v>132</v>
      </c>
      <c r="B17" t="s">
        <v>78</v>
      </c>
      <c r="C17" t="s">
        <v>83</v>
      </c>
      <c r="D17" t="s">
        <v>78</v>
      </c>
      <c r="E17">
        <v>1</v>
      </c>
    </row>
    <row r="18" spans="1:5" x14ac:dyDescent="0.35">
      <c r="A18" t="s">
        <v>137</v>
      </c>
      <c r="B18" t="s">
        <v>138</v>
      </c>
      <c r="C18" t="s">
        <v>83</v>
      </c>
      <c r="D18" t="s">
        <v>138</v>
      </c>
      <c r="E18">
        <v>1</v>
      </c>
    </row>
    <row r="19" spans="1:5" x14ac:dyDescent="0.35">
      <c r="A19" t="s">
        <v>146</v>
      </c>
      <c r="B19" t="s">
        <v>70</v>
      </c>
      <c r="C19" t="s">
        <v>83</v>
      </c>
      <c r="D19" t="s">
        <v>147</v>
      </c>
    </row>
    <row r="20" spans="1:5" x14ac:dyDescent="0.35">
      <c r="A20" t="s">
        <v>149</v>
      </c>
      <c r="B20" t="s">
        <v>68</v>
      </c>
      <c r="C20" t="s">
        <v>83</v>
      </c>
      <c r="D20" t="s">
        <v>68</v>
      </c>
      <c r="E20">
        <v>1</v>
      </c>
    </row>
    <row r="21" spans="1:5" x14ac:dyDescent="0.35">
      <c r="A21" t="s">
        <v>154</v>
      </c>
      <c r="B21" t="s">
        <v>80</v>
      </c>
      <c r="C21" t="s">
        <v>83</v>
      </c>
      <c r="D21" t="s">
        <v>80</v>
      </c>
      <c r="E21">
        <v>1</v>
      </c>
    </row>
  </sheetData>
  <sortState xmlns:xlrd2="http://schemas.microsoft.com/office/spreadsheetml/2017/richdata2" ref="A2:D22">
    <sortCondition ref="C3:C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P1_Word Priming Task_2025-10-16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2025-10-16T08:15:37Z</dcterms:created>
  <dcterms:modified xsi:type="dcterms:W3CDTF">2025-10-16T14:30:22Z</dcterms:modified>
</cp:coreProperties>
</file>