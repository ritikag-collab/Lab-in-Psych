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Delay Discounting\data\"/>
    </mc:Choice>
  </mc:AlternateContent>
  <xr:revisionPtr revIDLastSave="0" documentId="13_ncr:9_{B7D51937-1E3E-4380-B0A0-8306D2F66148}" xr6:coauthVersionLast="47" xr6:coauthVersionMax="47" xr10:uidLastSave="{00000000-0000-0000-0000-000000000000}"/>
  <bookViews>
    <workbookView xWindow="-110" yWindow="-110" windowWidth="19420" windowHeight="10300" activeTab="1" xr2:uid="{3DE9A7D0-AFE6-44F6-9EEC-BA8E615B471F}"/>
  </bookViews>
  <sheets>
    <sheet name="p2_Delay Discounting_2025-11-02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G48" i="2" l="1"/>
  <c r="E49" i="2"/>
  <c r="E3" i="2"/>
  <c r="E4" i="2"/>
  <c r="E50" i="2"/>
  <c r="E51" i="2"/>
  <c r="E52" i="2"/>
  <c r="E53" i="2"/>
  <c r="E54" i="2"/>
  <c r="E5" i="2"/>
  <c r="E55" i="2"/>
  <c r="E56" i="2"/>
  <c r="E57" i="2"/>
  <c r="E58" i="2"/>
  <c r="E59" i="2"/>
  <c r="E6" i="2"/>
  <c r="E7" i="2"/>
  <c r="E60" i="2"/>
  <c r="E8" i="2"/>
  <c r="E61" i="2"/>
  <c r="E9" i="2"/>
  <c r="E10" i="2"/>
  <c r="E62" i="2"/>
  <c r="E11" i="2"/>
  <c r="E63" i="2"/>
  <c r="E64" i="2"/>
  <c r="E65" i="2"/>
  <c r="E12" i="2"/>
  <c r="E13" i="2"/>
  <c r="E14" i="2"/>
  <c r="E66" i="2"/>
  <c r="E15" i="2"/>
  <c r="E16" i="2"/>
  <c r="E67" i="2"/>
  <c r="E17" i="2"/>
  <c r="E18" i="2"/>
  <c r="E68" i="2"/>
  <c r="E19" i="2"/>
  <c r="E20" i="2"/>
  <c r="E21" i="2"/>
  <c r="E22" i="2"/>
  <c r="E69" i="2"/>
  <c r="E23" i="2"/>
  <c r="E70" i="2"/>
  <c r="E24" i="2"/>
  <c r="E71" i="2"/>
  <c r="E25" i="2"/>
  <c r="E72" i="2"/>
  <c r="E26" i="2"/>
  <c r="E73" i="2"/>
  <c r="E27" i="2"/>
  <c r="E28" i="2"/>
  <c r="E74" i="2"/>
  <c r="E75" i="2"/>
  <c r="E76" i="2"/>
  <c r="E29" i="2"/>
  <c r="E77" i="2"/>
  <c r="E30" i="2"/>
  <c r="E31" i="2"/>
  <c r="E32" i="2"/>
  <c r="E33" i="2"/>
  <c r="E78" i="2"/>
  <c r="E79" i="2"/>
  <c r="E80" i="2"/>
  <c r="E34" i="2"/>
  <c r="E35" i="2"/>
  <c r="E81" i="2"/>
  <c r="E82" i="2"/>
  <c r="E36" i="2"/>
  <c r="E83" i="2"/>
  <c r="E84" i="2"/>
  <c r="E85" i="2"/>
  <c r="E37" i="2"/>
  <c r="E38" i="2"/>
  <c r="E86" i="2"/>
  <c r="E87" i="2"/>
  <c r="E88" i="2"/>
  <c r="E39" i="2"/>
  <c r="E40" i="2"/>
  <c r="E89" i="2"/>
  <c r="E90" i="2"/>
  <c r="E41" i="2"/>
  <c r="E91" i="2"/>
  <c r="E92" i="2"/>
  <c r="E42" i="2"/>
  <c r="E43" i="2"/>
  <c r="E93" i="2"/>
  <c r="E44" i="2"/>
  <c r="E94" i="2"/>
  <c r="E95" i="2"/>
  <c r="E96" i="2"/>
  <c r="E45" i="2"/>
  <c r="E97" i="2"/>
  <c r="E46" i="2"/>
  <c r="E98" i="2"/>
  <c r="E47" i="2"/>
  <c r="E99" i="2"/>
  <c r="E48" i="2"/>
  <c r="E100" i="2"/>
  <c r="E101" i="2"/>
  <c r="E2" i="2"/>
</calcChain>
</file>

<file path=xl/sharedStrings.xml><?xml version="1.0" encoding="utf-8"?>
<sst xmlns="http://schemas.openxmlformats.org/spreadsheetml/2006/main" count="1055" uniqueCount="49">
  <si>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</si>
  <si>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</si>
  <si>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</si>
  <si>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</si>
  <si>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</si>
  <si>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</si>
  <si>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</si>
  <si>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</si>
  <si>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</si>
  <si>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</si>
  <si>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</si>
  <si>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</si>
  <si>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</si>
  <si>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</si>
  <si>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</si>
  <si>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Welcome_screen.started</t>
  </si>
  <si>
    <t>text_3.started</t>
  </si>
  <si>
    <t>text_3.stopped</t>
  </si>
  <si>
    <t>Welcome_screen.stopped</t>
  </si>
  <si>
    <t>trial.started</t>
  </si>
  <si>
    <t>polygon.started</t>
  </si>
  <si>
    <t>text.started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</si>
  <si>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</si>
  <si>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</si>
  <si>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</si>
  <si>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</si>
  <si>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</si>
  <si>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</si>
  <si>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Goodbye_Screen.started</t>
  </si>
  <si>
    <t>text_2.started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</si>
  <si>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</si>
  <si>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</si>
  <si>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</si>
  <si>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</si>
  <si>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</si>
  <si>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</si>
  <si>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</si>
  <si>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</si>
  <si>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</si>
  <si>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p2</t>
  </si>
  <si>
    <t>2025-11-02_15h31.16.115</t>
  </si>
  <si>
    <t>Delay Discounting</t>
  </si>
  <si>
    <t>2025.1.1</t>
  </si>
  <si>
    <t>2025-11-02 15h31.42.659950 +0530</t>
  </si>
  <si>
    <t>l</t>
  </si>
  <si>
    <t>None</t>
  </si>
  <si>
    <t>t</t>
  </si>
  <si>
    <t>K(Points of Indifference)</t>
  </si>
  <si>
    <t>for this participant the geomean value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</si>
</sst>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F529-E312-421D-A9FA-F417C043926A}">
  <dimension ref="A1:AM103"/>
  <sheetViews>
    <sheetView workbookViewId="0">
      <selection activeCell="G1" activeCellId="3" sqref="A1:A1048576 B1:B1048576 C1:C1048576 G1:G1048576"/>
    </sheetView>
  </sheetViews>
  <sheetFormatPr defaultRowHeight="14.5" x14ac:dyDescent="0.35"/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P2">
        <v>3.01460002083331E-3</v>
      </c>
      <c r="Q2">
        <v>1.02482000365853E-2</v>
      </c>
      <c r="R2">
        <v>5.0758100000675697</v>
      </c>
      <c r="S2">
        <v>4.9945814000675401</v>
      </c>
      <c r="AF2" t="s">
        <v>39</v>
      </c>
      <c r="AG2">
        <v>1</v>
      </c>
      <c r="AH2" t="s">
        <v>40</v>
      </c>
      <c r="AI2" t="s">
        <v>41</v>
      </c>
      <c r="AK2" t="s">
        <v>42</v>
      </c>
      <c r="AL2">
        <v>59.989765737873697</v>
      </c>
      <c r="AM2" t="s">
        <v>43</v>
      </c>
    </row>
    <row r="3" spans="1:39" x14ac:dyDescent="0.35">
      <c r="A3">
        <v>84</v>
      </c>
      <c r="B3">
        <v>185</v>
      </c>
      <c r="C3">
        <v>40</v>
      </c>
      <c r="D3">
        <v>0</v>
      </c>
      <c r="E3">
        <v>0</v>
      </c>
      <c r="F3">
        <v>0</v>
      </c>
      <c r="G3" t="s">
        <v>44</v>
      </c>
      <c r="H3">
        <v>2.8023153999820298</v>
      </c>
      <c r="I3" t="s">
        <v>45</v>
      </c>
      <c r="J3">
        <v>0</v>
      </c>
      <c r="K3">
        <v>0</v>
      </c>
      <c r="L3">
        <v>0</v>
      </c>
      <c r="M3">
        <v>82</v>
      </c>
      <c r="N3">
        <v>5.0758100000675697</v>
      </c>
      <c r="T3">
        <v>5.0714835000690002</v>
      </c>
      <c r="U3">
        <v>5.0758100000675697</v>
      </c>
      <c r="V3">
        <v>6.0099799000890899</v>
      </c>
      <c r="W3">
        <v>6.0099799000890899</v>
      </c>
      <c r="X3">
        <v>6.0769680000375903</v>
      </c>
      <c r="Y3">
        <v>8.8519738001050392</v>
      </c>
      <c r="Z3" t="s">
        <v>44</v>
      </c>
      <c r="AA3">
        <v>2.8023153999820298</v>
      </c>
      <c r="AB3" t="s">
        <v>45</v>
      </c>
      <c r="AF3" t="s">
        <v>39</v>
      </c>
      <c r="AG3">
        <v>1</v>
      </c>
      <c r="AH3" t="s">
        <v>40</v>
      </c>
      <c r="AI3" t="s">
        <v>41</v>
      </c>
      <c r="AK3" t="s">
        <v>42</v>
      </c>
      <c r="AL3">
        <v>59.989765737873697</v>
      </c>
      <c r="AM3" t="s">
        <v>43</v>
      </c>
    </row>
    <row r="4" spans="1:39" x14ac:dyDescent="0.35">
      <c r="A4">
        <v>28</v>
      </c>
      <c r="B4">
        <v>48</v>
      </c>
      <c r="C4">
        <v>20</v>
      </c>
      <c r="D4">
        <v>1</v>
      </c>
      <c r="E4">
        <v>1</v>
      </c>
      <c r="F4">
        <v>0</v>
      </c>
      <c r="G4" t="s">
        <v>46</v>
      </c>
      <c r="H4">
        <v>2.4839608001057001</v>
      </c>
      <c r="I4" t="s">
        <v>45</v>
      </c>
      <c r="J4">
        <v>0</v>
      </c>
      <c r="K4">
        <v>1</v>
      </c>
      <c r="L4">
        <v>1</v>
      </c>
      <c r="M4">
        <v>11</v>
      </c>
      <c r="N4">
        <v>8.8666495000943506</v>
      </c>
      <c r="T4">
        <v>8.8638962000841204</v>
      </c>
      <c r="U4">
        <v>8.8666495000943506</v>
      </c>
      <c r="V4">
        <v>9.8598837000317801</v>
      </c>
      <c r="W4">
        <v>9.8598837000317801</v>
      </c>
      <c r="X4">
        <v>9.8764169000787607</v>
      </c>
      <c r="Y4">
        <v>12.345078500104099</v>
      </c>
      <c r="Z4" t="s">
        <v>46</v>
      </c>
      <c r="AA4">
        <v>2.4839608001057001</v>
      </c>
      <c r="AB4" t="s">
        <v>45</v>
      </c>
      <c r="AF4" t="s">
        <v>39</v>
      </c>
      <c r="AG4">
        <v>1</v>
      </c>
      <c r="AH4" t="s">
        <v>40</v>
      </c>
      <c r="AI4" t="s">
        <v>41</v>
      </c>
      <c r="AK4" t="s">
        <v>42</v>
      </c>
      <c r="AL4">
        <v>59.989765737873697</v>
      </c>
      <c r="AM4" t="s">
        <v>43</v>
      </c>
    </row>
    <row r="5" spans="1:39" x14ac:dyDescent="0.35">
      <c r="A5">
        <v>100</v>
      </c>
      <c r="B5">
        <v>225</v>
      </c>
      <c r="C5">
        <v>48</v>
      </c>
      <c r="D5">
        <v>2</v>
      </c>
      <c r="E5">
        <v>2</v>
      </c>
      <c r="F5">
        <v>0</v>
      </c>
      <c r="G5" t="s">
        <v>44</v>
      </c>
      <c r="H5">
        <v>1.5197713000234201</v>
      </c>
      <c r="I5" t="s">
        <v>45</v>
      </c>
      <c r="J5">
        <v>0</v>
      </c>
      <c r="K5">
        <v>2</v>
      </c>
      <c r="L5">
        <v>2</v>
      </c>
      <c r="M5">
        <v>90</v>
      </c>
      <c r="N5">
        <v>12.360376700060399</v>
      </c>
      <c r="T5">
        <v>12.353770300047399</v>
      </c>
      <c r="U5">
        <v>12.360376700060399</v>
      </c>
      <c r="V5">
        <v>13.3602452001068</v>
      </c>
      <c r="W5">
        <v>13.3602452001068</v>
      </c>
      <c r="X5">
        <v>13.3602452001068</v>
      </c>
      <c r="Y5">
        <v>14.894401600002301</v>
      </c>
      <c r="Z5" t="s">
        <v>44</v>
      </c>
      <c r="AA5">
        <v>1.5197713000234201</v>
      </c>
      <c r="AB5" t="s">
        <v>45</v>
      </c>
      <c r="AF5" t="s">
        <v>39</v>
      </c>
      <c r="AG5">
        <v>1</v>
      </c>
      <c r="AH5" t="s">
        <v>40</v>
      </c>
      <c r="AI5" t="s">
        <v>41</v>
      </c>
      <c r="AK5" t="s">
        <v>42</v>
      </c>
      <c r="AL5">
        <v>59.989765737873697</v>
      </c>
      <c r="AM5" t="s">
        <v>43</v>
      </c>
    </row>
    <row r="6" spans="1:39" x14ac:dyDescent="0.35">
      <c r="A6">
        <v>94</v>
      </c>
      <c r="B6">
        <v>210</v>
      </c>
      <c r="C6">
        <v>45</v>
      </c>
      <c r="D6">
        <v>3</v>
      </c>
      <c r="E6">
        <v>3</v>
      </c>
      <c r="F6">
        <v>0</v>
      </c>
      <c r="G6" t="s">
        <v>44</v>
      </c>
      <c r="H6">
        <v>3.40277919999789</v>
      </c>
      <c r="I6" t="s">
        <v>45</v>
      </c>
      <c r="J6">
        <v>0</v>
      </c>
      <c r="K6">
        <v>3</v>
      </c>
      <c r="L6">
        <v>3</v>
      </c>
      <c r="M6">
        <v>87</v>
      </c>
      <c r="N6">
        <v>14.9102238001069</v>
      </c>
      <c r="T6">
        <v>14.905048900051</v>
      </c>
      <c r="U6">
        <v>14.9102238001069</v>
      </c>
      <c r="V6">
        <v>15.893792500020901</v>
      </c>
      <c r="W6">
        <v>15.893792500020901</v>
      </c>
      <c r="X6">
        <v>15.910560300107999</v>
      </c>
      <c r="Y6">
        <v>19.3112690000562</v>
      </c>
      <c r="Z6" t="s">
        <v>44</v>
      </c>
      <c r="AA6">
        <v>3.40277919999789</v>
      </c>
      <c r="AB6" t="s">
        <v>45</v>
      </c>
      <c r="AF6" t="s">
        <v>39</v>
      </c>
      <c r="AG6">
        <v>1</v>
      </c>
      <c r="AH6" t="s">
        <v>40</v>
      </c>
      <c r="AI6" t="s">
        <v>41</v>
      </c>
      <c r="AK6" t="s">
        <v>42</v>
      </c>
      <c r="AL6">
        <v>59.989765737873697</v>
      </c>
      <c r="AM6" t="s">
        <v>43</v>
      </c>
    </row>
    <row r="7" spans="1:39" x14ac:dyDescent="0.35">
      <c r="A7">
        <v>30</v>
      </c>
      <c r="B7">
        <v>60</v>
      </c>
      <c r="C7">
        <v>13</v>
      </c>
      <c r="D7">
        <v>4</v>
      </c>
      <c r="E7">
        <v>4</v>
      </c>
      <c r="F7">
        <v>0</v>
      </c>
      <c r="G7" t="s">
        <v>46</v>
      </c>
      <c r="H7">
        <v>1.46918779995758</v>
      </c>
      <c r="I7" t="s">
        <v>45</v>
      </c>
      <c r="J7">
        <v>0</v>
      </c>
      <c r="K7">
        <v>4</v>
      </c>
      <c r="L7">
        <v>4</v>
      </c>
      <c r="M7">
        <v>55</v>
      </c>
      <c r="N7">
        <v>19.328863100032301</v>
      </c>
      <c r="T7">
        <v>19.3262919000117</v>
      </c>
      <c r="U7">
        <v>19.328863100032301</v>
      </c>
      <c r="V7">
        <v>20.326632200041701</v>
      </c>
      <c r="W7">
        <v>20.326632200041701</v>
      </c>
      <c r="X7">
        <v>20.343300600070499</v>
      </c>
      <c r="Y7">
        <v>21.8107996000908</v>
      </c>
      <c r="Z7" t="s">
        <v>46</v>
      </c>
      <c r="AA7">
        <v>1.46918779995758</v>
      </c>
      <c r="AB7" t="s">
        <v>45</v>
      </c>
      <c r="AF7" t="s">
        <v>39</v>
      </c>
      <c r="AG7">
        <v>1</v>
      </c>
      <c r="AH7" t="s">
        <v>40</v>
      </c>
      <c r="AI7" t="s">
        <v>41</v>
      </c>
      <c r="AK7" t="s">
        <v>42</v>
      </c>
      <c r="AL7">
        <v>59.989765737873697</v>
      </c>
      <c r="AM7" t="s">
        <v>43</v>
      </c>
    </row>
    <row r="8" spans="1:39" x14ac:dyDescent="0.35">
      <c r="A8">
        <v>38</v>
      </c>
      <c r="B8">
        <v>76</v>
      </c>
      <c r="C8">
        <v>17</v>
      </c>
      <c r="D8">
        <v>5</v>
      </c>
      <c r="E8">
        <v>5</v>
      </c>
      <c r="F8">
        <v>0</v>
      </c>
      <c r="G8" t="s">
        <v>46</v>
      </c>
      <c r="H8">
        <v>1.14113670005463</v>
      </c>
      <c r="I8" t="s">
        <v>45</v>
      </c>
      <c r="J8">
        <v>0</v>
      </c>
      <c r="K8">
        <v>5</v>
      </c>
      <c r="L8">
        <v>5</v>
      </c>
      <c r="M8">
        <v>59</v>
      </c>
      <c r="N8">
        <v>21.826154200010901</v>
      </c>
      <c r="T8">
        <v>21.820438800030299</v>
      </c>
      <c r="U8">
        <v>21.826154200010901</v>
      </c>
      <c r="V8">
        <v>22.810331100015901</v>
      </c>
      <c r="W8">
        <v>22.810331100015901</v>
      </c>
      <c r="X8">
        <v>22.826582900015602</v>
      </c>
      <c r="Y8">
        <v>23.960301800048899</v>
      </c>
      <c r="Z8" t="s">
        <v>46</v>
      </c>
      <c r="AA8">
        <v>1.14113670005463</v>
      </c>
      <c r="AB8" t="s">
        <v>45</v>
      </c>
      <c r="AF8" t="s">
        <v>39</v>
      </c>
      <c r="AG8">
        <v>1</v>
      </c>
      <c r="AH8" t="s">
        <v>40</v>
      </c>
      <c r="AI8" t="s">
        <v>41</v>
      </c>
      <c r="AK8" t="s">
        <v>42</v>
      </c>
      <c r="AL8">
        <v>59.989765737873697</v>
      </c>
      <c r="AM8" t="s">
        <v>43</v>
      </c>
    </row>
    <row r="9" spans="1:39" x14ac:dyDescent="0.35">
      <c r="A9">
        <v>40</v>
      </c>
      <c r="B9">
        <v>55</v>
      </c>
      <c r="C9">
        <v>62</v>
      </c>
      <c r="D9">
        <v>6</v>
      </c>
      <c r="E9">
        <v>6</v>
      </c>
      <c r="F9">
        <v>0</v>
      </c>
      <c r="G9" t="s">
        <v>46</v>
      </c>
      <c r="H9">
        <v>1.00119899993296</v>
      </c>
      <c r="I9" t="s">
        <v>45</v>
      </c>
      <c r="J9">
        <v>0</v>
      </c>
      <c r="K9">
        <v>6</v>
      </c>
      <c r="L9">
        <v>6</v>
      </c>
      <c r="M9">
        <v>3</v>
      </c>
      <c r="N9">
        <v>24.060992800048499</v>
      </c>
      <c r="T9">
        <v>24.0572222000919</v>
      </c>
      <c r="U9">
        <v>24.060992800048499</v>
      </c>
      <c r="V9">
        <v>24.960408600047199</v>
      </c>
      <c r="W9">
        <v>24.960408600047199</v>
      </c>
      <c r="X9">
        <v>25.060112800099802</v>
      </c>
      <c r="Y9">
        <v>25.962238200008802</v>
      </c>
      <c r="Z9" t="s">
        <v>46</v>
      </c>
      <c r="AA9">
        <v>1.00119899993296</v>
      </c>
      <c r="AB9" t="s">
        <v>45</v>
      </c>
      <c r="AF9" t="s">
        <v>39</v>
      </c>
      <c r="AG9">
        <v>1</v>
      </c>
      <c r="AH9" t="s">
        <v>40</v>
      </c>
      <c r="AI9" t="s">
        <v>41</v>
      </c>
      <c r="AK9" t="s">
        <v>42</v>
      </c>
      <c r="AL9">
        <v>59.989765737873697</v>
      </c>
      <c r="AM9" t="s">
        <v>43</v>
      </c>
    </row>
    <row r="10" spans="1:39" x14ac:dyDescent="0.35">
      <c r="A10">
        <v>25</v>
      </c>
      <c r="B10">
        <v>45</v>
      </c>
      <c r="C10">
        <v>16</v>
      </c>
      <c r="D10">
        <v>7</v>
      </c>
      <c r="E10">
        <v>7</v>
      </c>
      <c r="F10">
        <v>0</v>
      </c>
      <c r="G10" t="s">
        <v>46</v>
      </c>
      <c r="H10">
        <v>1.24255580001045</v>
      </c>
      <c r="I10" t="s">
        <v>45</v>
      </c>
      <c r="J10">
        <v>0</v>
      </c>
      <c r="K10">
        <v>7</v>
      </c>
      <c r="L10">
        <v>7</v>
      </c>
      <c r="M10">
        <v>10</v>
      </c>
      <c r="N10">
        <v>25.976278800051599</v>
      </c>
      <c r="T10">
        <v>25.970909500028899</v>
      </c>
      <c r="U10">
        <v>25.976278800051599</v>
      </c>
      <c r="V10">
        <v>26.9770308000734</v>
      </c>
      <c r="W10">
        <v>26.9770308000734</v>
      </c>
      <c r="X10">
        <v>26.9770308000734</v>
      </c>
      <c r="Y10">
        <v>28.227528100018301</v>
      </c>
      <c r="Z10" t="s">
        <v>46</v>
      </c>
      <c r="AA10">
        <v>1.24255580001045</v>
      </c>
      <c r="AB10" t="s">
        <v>45</v>
      </c>
      <c r="AF10" t="s">
        <v>39</v>
      </c>
      <c r="AG10">
        <v>1</v>
      </c>
      <c r="AH10" t="s">
        <v>40</v>
      </c>
      <c r="AI10" t="s">
        <v>41</v>
      </c>
      <c r="AK10" t="s">
        <v>42</v>
      </c>
      <c r="AL10">
        <v>59.989765737873697</v>
      </c>
      <c r="AM10" t="s">
        <v>43</v>
      </c>
    </row>
    <row r="11" spans="1:39" x14ac:dyDescent="0.35">
      <c r="A11">
        <v>64</v>
      </c>
      <c r="B11">
        <v>88</v>
      </c>
      <c r="C11">
        <v>95</v>
      </c>
      <c r="D11">
        <v>8</v>
      </c>
      <c r="E11">
        <v>8</v>
      </c>
      <c r="F11">
        <v>0</v>
      </c>
      <c r="G11" t="s">
        <v>46</v>
      </c>
      <c r="H11">
        <v>1.91118880000431</v>
      </c>
      <c r="I11" t="s">
        <v>45</v>
      </c>
      <c r="J11">
        <v>0</v>
      </c>
      <c r="K11">
        <v>8</v>
      </c>
      <c r="L11">
        <v>8</v>
      </c>
      <c r="M11">
        <v>26</v>
      </c>
      <c r="N11">
        <v>28.243631600053</v>
      </c>
      <c r="T11">
        <v>28.234906200086598</v>
      </c>
      <c r="U11">
        <v>28.243631600053</v>
      </c>
      <c r="V11">
        <v>29.2269566000904</v>
      </c>
      <c r="W11">
        <v>29.2269566000904</v>
      </c>
      <c r="X11">
        <v>29.243344400078001</v>
      </c>
      <c r="Y11">
        <v>31.143531300010999</v>
      </c>
      <c r="Z11" t="s">
        <v>46</v>
      </c>
      <c r="AA11">
        <v>1.91118880000431</v>
      </c>
      <c r="AB11" t="s">
        <v>45</v>
      </c>
      <c r="AF11" t="s">
        <v>39</v>
      </c>
      <c r="AG11">
        <v>1</v>
      </c>
      <c r="AH11" t="s">
        <v>40</v>
      </c>
      <c r="AI11" t="s">
        <v>41</v>
      </c>
      <c r="AK11" t="s">
        <v>42</v>
      </c>
      <c r="AL11">
        <v>59.989765737873697</v>
      </c>
      <c r="AM11" t="s">
        <v>43</v>
      </c>
    </row>
    <row r="12" spans="1:39" x14ac:dyDescent="0.35">
      <c r="A12">
        <v>94</v>
      </c>
      <c r="B12">
        <v>145</v>
      </c>
      <c r="C12">
        <v>170</v>
      </c>
      <c r="D12">
        <v>9</v>
      </c>
      <c r="E12">
        <v>9</v>
      </c>
      <c r="F12">
        <v>0</v>
      </c>
      <c r="G12" t="s">
        <v>44</v>
      </c>
      <c r="H12">
        <v>1.5504427999257999</v>
      </c>
      <c r="I12" t="s">
        <v>45</v>
      </c>
      <c r="J12">
        <v>0</v>
      </c>
      <c r="K12">
        <v>9</v>
      </c>
      <c r="L12">
        <v>9</v>
      </c>
      <c r="M12">
        <v>41</v>
      </c>
      <c r="N12">
        <v>31.159397400100701</v>
      </c>
      <c r="T12">
        <v>31.1502450000261</v>
      </c>
      <c r="U12">
        <v>31.159397400100701</v>
      </c>
      <c r="V12">
        <v>32.142726000049102</v>
      </c>
      <c r="W12">
        <v>32.142726000049102</v>
      </c>
      <c r="X12">
        <v>32.159510300028998</v>
      </c>
      <c r="Y12">
        <v>33.694193600094799</v>
      </c>
      <c r="Z12" t="s">
        <v>44</v>
      </c>
      <c r="AA12">
        <v>1.5504427999257999</v>
      </c>
      <c r="AB12" t="s">
        <v>45</v>
      </c>
      <c r="AF12" t="s">
        <v>39</v>
      </c>
      <c r="AG12">
        <v>1</v>
      </c>
      <c r="AH12" t="s">
        <v>40</v>
      </c>
      <c r="AI12" t="s">
        <v>41</v>
      </c>
      <c r="AK12" t="s">
        <v>42</v>
      </c>
      <c r="AL12">
        <v>59.989765737873697</v>
      </c>
      <c r="AM12" t="s">
        <v>43</v>
      </c>
    </row>
    <row r="13" spans="1:39" x14ac:dyDescent="0.35">
      <c r="A13">
        <v>34</v>
      </c>
      <c r="B13">
        <v>68</v>
      </c>
      <c r="C13">
        <v>15</v>
      </c>
      <c r="D13">
        <v>10</v>
      </c>
      <c r="E13">
        <v>10</v>
      </c>
      <c r="F13">
        <v>0</v>
      </c>
      <c r="G13" t="s">
        <v>46</v>
      </c>
      <c r="H13">
        <v>1.4338516000425401</v>
      </c>
      <c r="I13" t="s">
        <v>45</v>
      </c>
      <c r="J13">
        <v>0</v>
      </c>
      <c r="K13">
        <v>10</v>
      </c>
      <c r="L13">
        <v>10</v>
      </c>
      <c r="M13">
        <v>57</v>
      </c>
      <c r="N13">
        <v>33.709451800095799</v>
      </c>
      <c r="T13">
        <v>33.704666700097697</v>
      </c>
      <c r="U13">
        <v>33.709451800095799</v>
      </c>
      <c r="V13">
        <v>34.693149000056998</v>
      </c>
      <c r="W13">
        <v>34.693149000056998</v>
      </c>
      <c r="X13">
        <v>34.709895600099102</v>
      </c>
      <c r="Y13">
        <v>36.144682200043398</v>
      </c>
      <c r="Z13" t="s">
        <v>46</v>
      </c>
      <c r="AA13">
        <v>1.4338516000425401</v>
      </c>
      <c r="AB13" t="s">
        <v>45</v>
      </c>
      <c r="AF13" t="s">
        <v>39</v>
      </c>
      <c r="AG13">
        <v>1</v>
      </c>
      <c r="AH13" t="s">
        <v>40</v>
      </c>
      <c r="AI13" t="s">
        <v>41</v>
      </c>
      <c r="AK13" t="s">
        <v>42</v>
      </c>
      <c r="AL13">
        <v>59.989765737873697</v>
      </c>
      <c r="AM13" t="s">
        <v>43</v>
      </c>
    </row>
    <row r="14" spans="1:39" x14ac:dyDescent="0.35">
      <c r="A14">
        <v>67</v>
      </c>
      <c r="B14">
        <v>75</v>
      </c>
      <c r="C14">
        <v>119</v>
      </c>
      <c r="D14">
        <v>11</v>
      </c>
      <c r="E14">
        <v>11</v>
      </c>
      <c r="F14">
        <v>0</v>
      </c>
      <c r="G14" t="s">
        <v>46</v>
      </c>
      <c r="H14">
        <v>2.0000720999669199</v>
      </c>
      <c r="I14" t="s">
        <v>45</v>
      </c>
      <c r="J14">
        <v>0</v>
      </c>
      <c r="K14">
        <v>11</v>
      </c>
      <c r="L14">
        <v>11</v>
      </c>
      <c r="M14">
        <v>5</v>
      </c>
      <c r="N14">
        <v>36.1594806000357</v>
      </c>
      <c r="T14">
        <v>36.155073400004703</v>
      </c>
      <c r="U14">
        <v>36.1594806000357</v>
      </c>
      <c r="V14">
        <v>37.159762300085198</v>
      </c>
      <c r="W14">
        <v>37.159762300085198</v>
      </c>
      <c r="X14">
        <v>37.159762300085198</v>
      </c>
      <c r="Y14">
        <v>39.160922900075001</v>
      </c>
      <c r="Z14" t="s">
        <v>46</v>
      </c>
      <c r="AA14">
        <v>2.0000720999669199</v>
      </c>
      <c r="AB14" t="s">
        <v>45</v>
      </c>
      <c r="AF14" t="s">
        <v>39</v>
      </c>
      <c r="AG14">
        <v>1</v>
      </c>
      <c r="AH14" t="s">
        <v>40</v>
      </c>
      <c r="AI14" t="s">
        <v>41</v>
      </c>
      <c r="AK14" t="s">
        <v>42</v>
      </c>
      <c r="AL14">
        <v>59.989765737873697</v>
      </c>
      <c r="AM14" t="s">
        <v>43</v>
      </c>
    </row>
    <row r="15" spans="1:39" x14ac:dyDescent="0.35">
      <c r="A15">
        <v>15</v>
      </c>
      <c r="B15">
        <v>35</v>
      </c>
      <c r="C15">
        <v>13</v>
      </c>
      <c r="D15">
        <v>12</v>
      </c>
      <c r="E15">
        <v>12</v>
      </c>
      <c r="F15">
        <v>0</v>
      </c>
      <c r="G15" t="s">
        <v>46</v>
      </c>
      <c r="H15">
        <v>1.7805861999513499</v>
      </c>
      <c r="I15" t="s">
        <v>45</v>
      </c>
      <c r="J15">
        <v>0</v>
      </c>
      <c r="K15">
        <v>12</v>
      </c>
      <c r="L15">
        <v>12</v>
      </c>
      <c r="M15">
        <v>1</v>
      </c>
      <c r="N15">
        <v>39.1764954000245</v>
      </c>
      <c r="T15">
        <v>39.167466700077</v>
      </c>
      <c r="U15">
        <v>39.1764954000245</v>
      </c>
      <c r="V15">
        <v>40.176593400072299</v>
      </c>
      <c r="W15">
        <v>40.176593400072299</v>
      </c>
      <c r="X15">
        <v>40.176593400072299</v>
      </c>
      <c r="Y15">
        <v>41.960410900064701</v>
      </c>
      <c r="Z15" t="s">
        <v>46</v>
      </c>
      <c r="AA15">
        <v>1.7805861999513499</v>
      </c>
      <c r="AB15" t="s">
        <v>45</v>
      </c>
      <c r="AF15" t="s">
        <v>39</v>
      </c>
      <c r="AG15">
        <v>1</v>
      </c>
      <c r="AH15" t="s">
        <v>40</v>
      </c>
      <c r="AI15" t="s">
        <v>41</v>
      </c>
      <c r="AK15" t="s">
        <v>42</v>
      </c>
      <c r="AL15">
        <v>59.989765737873697</v>
      </c>
      <c r="AM15" t="s">
        <v>43</v>
      </c>
    </row>
    <row r="16" spans="1:39" x14ac:dyDescent="0.35">
      <c r="A16">
        <v>55</v>
      </c>
      <c r="B16">
        <v>80</v>
      </c>
      <c r="C16">
        <v>75</v>
      </c>
      <c r="D16">
        <v>13</v>
      </c>
      <c r="E16">
        <v>13</v>
      </c>
      <c r="F16">
        <v>0</v>
      </c>
      <c r="G16" t="s">
        <v>46</v>
      </c>
      <c r="H16">
        <v>1.3236851999536099</v>
      </c>
      <c r="I16" t="s">
        <v>45</v>
      </c>
      <c r="J16">
        <v>0</v>
      </c>
      <c r="K16">
        <v>13</v>
      </c>
      <c r="L16">
        <v>13</v>
      </c>
      <c r="M16">
        <v>22</v>
      </c>
      <c r="N16">
        <v>41.9778702000621</v>
      </c>
      <c r="T16">
        <v>41.969824000028801</v>
      </c>
      <c r="U16">
        <v>41.9778702000621</v>
      </c>
      <c r="V16">
        <v>42.975999900023403</v>
      </c>
      <c r="W16">
        <v>42.975999900023403</v>
      </c>
      <c r="X16">
        <v>42.992527100024702</v>
      </c>
      <c r="Y16">
        <v>44.313364800065699</v>
      </c>
      <c r="Z16" t="s">
        <v>46</v>
      </c>
      <c r="AA16">
        <v>1.3236851999536099</v>
      </c>
      <c r="AB16" t="s">
        <v>45</v>
      </c>
      <c r="AF16" t="s">
        <v>39</v>
      </c>
      <c r="AG16">
        <v>1</v>
      </c>
      <c r="AH16" t="s">
        <v>40</v>
      </c>
      <c r="AI16" t="s">
        <v>41</v>
      </c>
      <c r="AK16" t="s">
        <v>42</v>
      </c>
      <c r="AL16">
        <v>59.989765737873697</v>
      </c>
      <c r="AM16" t="s">
        <v>43</v>
      </c>
    </row>
    <row r="17" spans="1:39" x14ac:dyDescent="0.35">
      <c r="A17">
        <v>96</v>
      </c>
      <c r="B17">
        <v>150</v>
      </c>
      <c r="C17">
        <v>175</v>
      </c>
      <c r="D17">
        <v>14</v>
      </c>
      <c r="E17">
        <v>14</v>
      </c>
      <c r="F17">
        <v>0</v>
      </c>
      <c r="G17" t="s">
        <v>46</v>
      </c>
      <c r="H17">
        <v>1.28970059996936</v>
      </c>
      <c r="I17" t="s">
        <v>45</v>
      </c>
      <c r="J17">
        <v>0</v>
      </c>
      <c r="K17">
        <v>14</v>
      </c>
      <c r="L17">
        <v>14</v>
      </c>
      <c r="M17">
        <v>42</v>
      </c>
      <c r="N17">
        <v>44.326133100083098</v>
      </c>
      <c r="T17">
        <v>44.320317000034201</v>
      </c>
      <c r="U17">
        <v>44.326133100083098</v>
      </c>
      <c r="V17">
        <v>45.326203800039302</v>
      </c>
      <c r="W17">
        <v>45.326203800039302</v>
      </c>
      <c r="X17">
        <v>45.326203800039302</v>
      </c>
      <c r="Y17">
        <v>46.627899400074902</v>
      </c>
      <c r="Z17" t="s">
        <v>46</v>
      </c>
      <c r="AA17">
        <v>1.28970059996936</v>
      </c>
      <c r="AB17" t="s">
        <v>45</v>
      </c>
      <c r="AF17" t="s">
        <v>39</v>
      </c>
      <c r="AG17">
        <v>1</v>
      </c>
      <c r="AH17" t="s">
        <v>40</v>
      </c>
      <c r="AI17" t="s">
        <v>41</v>
      </c>
      <c r="AK17" t="s">
        <v>42</v>
      </c>
      <c r="AL17">
        <v>59.989765737873697</v>
      </c>
      <c r="AM17" t="s">
        <v>43</v>
      </c>
    </row>
    <row r="18" spans="1:39" x14ac:dyDescent="0.35">
      <c r="A18">
        <v>78</v>
      </c>
      <c r="B18">
        <v>170</v>
      </c>
      <c r="C18">
        <v>37</v>
      </c>
      <c r="D18">
        <v>15</v>
      </c>
      <c r="E18">
        <v>15</v>
      </c>
      <c r="F18">
        <v>0</v>
      </c>
      <c r="G18" t="s">
        <v>44</v>
      </c>
      <c r="H18">
        <v>2.5732206000247899</v>
      </c>
      <c r="I18" t="s">
        <v>45</v>
      </c>
      <c r="J18">
        <v>0</v>
      </c>
      <c r="K18">
        <v>15</v>
      </c>
      <c r="L18">
        <v>15</v>
      </c>
      <c r="M18">
        <v>79</v>
      </c>
      <c r="N18">
        <v>46.642978000105302</v>
      </c>
      <c r="T18">
        <v>46.635910600074503</v>
      </c>
      <c r="U18">
        <v>46.642978000105302</v>
      </c>
      <c r="V18">
        <v>47.6424291000003</v>
      </c>
      <c r="W18">
        <v>47.6424291000003</v>
      </c>
      <c r="X18">
        <v>47.6424291000003</v>
      </c>
      <c r="Y18">
        <v>50.227638000040301</v>
      </c>
      <c r="Z18" t="s">
        <v>44</v>
      </c>
      <c r="AA18">
        <v>2.5732206000247899</v>
      </c>
      <c r="AB18" t="s">
        <v>45</v>
      </c>
      <c r="AF18" t="s">
        <v>39</v>
      </c>
      <c r="AG18">
        <v>1</v>
      </c>
      <c r="AH18" t="s">
        <v>40</v>
      </c>
      <c r="AI18" t="s">
        <v>41</v>
      </c>
      <c r="AK18" t="s">
        <v>42</v>
      </c>
      <c r="AL18">
        <v>59.989765737873697</v>
      </c>
      <c r="AM18" t="s">
        <v>43</v>
      </c>
    </row>
    <row r="19" spans="1:39" x14ac:dyDescent="0.35">
      <c r="A19">
        <v>68</v>
      </c>
      <c r="B19">
        <v>145</v>
      </c>
      <c r="C19">
        <v>32</v>
      </c>
      <c r="D19">
        <v>16</v>
      </c>
      <c r="E19">
        <v>16</v>
      </c>
      <c r="F19">
        <v>0</v>
      </c>
      <c r="G19" t="s">
        <v>44</v>
      </c>
      <c r="H19">
        <v>2.7003015999216502</v>
      </c>
      <c r="I19" t="s">
        <v>45</v>
      </c>
      <c r="J19">
        <v>0</v>
      </c>
      <c r="K19">
        <v>16</v>
      </c>
      <c r="L19">
        <v>16</v>
      </c>
      <c r="M19">
        <v>74</v>
      </c>
      <c r="N19">
        <v>50.242546300054499</v>
      </c>
      <c r="T19">
        <v>50.234727300004998</v>
      </c>
      <c r="U19">
        <v>50.242546300054499</v>
      </c>
      <c r="V19">
        <v>51.242536400095503</v>
      </c>
      <c r="W19">
        <v>51.242536400095503</v>
      </c>
      <c r="X19">
        <v>51.242536400095503</v>
      </c>
      <c r="Y19">
        <v>53.943668400053802</v>
      </c>
      <c r="Z19" t="s">
        <v>44</v>
      </c>
      <c r="AA19">
        <v>2.7003015999216502</v>
      </c>
      <c r="AB19" t="s">
        <v>45</v>
      </c>
      <c r="AF19" t="s">
        <v>39</v>
      </c>
      <c r="AG19">
        <v>1</v>
      </c>
      <c r="AH19" t="s">
        <v>40</v>
      </c>
      <c r="AI19" t="s">
        <v>41</v>
      </c>
      <c r="AK19" t="s">
        <v>42</v>
      </c>
      <c r="AL19">
        <v>59.989765737873697</v>
      </c>
      <c r="AM19" t="s">
        <v>43</v>
      </c>
    </row>
    <row r="20" spans="1:39" x14ac:dyDescent="0.35">
      <c r="A20">
        <v>118</v>
      </c>
      <c r="B20">
        <v>270</v>
      </c>
      <c r="C20">
        <v>57</v>
      </c>
      <c r="D20">
        <v>17</v>
      </c>
      <c r="E20">
        <v>17</v>
      </c>
      <c r="F20">
        <v>0</v>
      </c>
      <c r="G20" t="s">
        <v>46</v>
      </c>
      <c r="H20">
        <v>3.3985826999414699</v>
      </c>
      <c r="I20" t="s">
        <v>45</v>
      </c>
      <c r="J20">
        <v>0</v>
      </c>
      <c r="K20">
        <v>17</v>
      </c>
      <c r="L20">
        <v>17</v>
      </c>
      <c r="M20">
        <v>99</v>
      </c>
      <c r="N20">
        <v>53.959219600073901</v>
      </c>
      <c r="T20">
        <v>53.954262800049001</v>
      </c>
      <c r="U20">
        <v>53.959219600073901</v>
      </c>
      <c r="V20">
        <v>54.9432180000003</v>
      </c>
      <c r="W20">
        <v>54.9432180000003</v>
      </c>
      <c r="X20">
        <v>54.9601974000688</v>
      </c>
      <c r="Y20">
        <v>58.343224800075397</v>
      </c>
      <c r="Z20" t="s">
        <v>46</v>
      </c>
      <c r="AA20">
        <v>3.3985826999414699</v>
      </c>
      <c r="AB20" t="s">
        <v>45</v>
      </c>
      <c r="AF20" t="s">
        <v>39</v>
      </c>
      <c r="AG20">
        <v>1</v>
      </c>
      <c r="AH20" t="s">
        <v>40</v>
      </c>
      <c r="AI20" t="s">
        <v>41</v>
      </c>
      <c r="AK20" t="s">
        <v>42</v>
      </c>
      <c r="AL20">
        <v>59.989765737873697</v>
      </c>
      <c r="AM20" t="s">
        <v>43</v>
      </c>
    </row>
    <row r="21" spans="1:39" x14ac:dyDescent="0.35">
      <c r="A21">
        <v>28</v>
      </c>
      <c r="B21">
        <v>56</v>
      </c>
      <c r="C21">
        <v>12</v>
      </c>
      <c r="D21">
        <v>18</v>
      </c>
      <c r="E21">
        <v>18</v>
      </c>
      <c r="F21">
        <v>0</v>
      </c>
      <c r="G21" t="s">
        <v>44</v>
      </c>
      <c r="H21">
        <v>2.50704729999415</v>
      </c>
      <c r="I21" t="s">
        <v>45</v>
      </c>
      <c r="J21">
        <v>0</v>
      </c>
      <c r="K21">
        <v>18</v>
      </c>
      <c r="L21">
        <v>18</v>
      </c>
      <c r="M21">
        <v>54</v>
      </c>
      <c r="N21">
        <v>58.359588899998897</v>
      </c>
      <c r="T21">
        <v>58.352941600023698</v>
      </c>
      <c r="U21">
        <v>58.359588899998897</v>
      </c>
      <c r="V21">
        <v>59.342895500012602</v>
      </c>
      <c r="W21">
        <v>59.342895500012602</v>
      </c>
      <c r="X21">
        <v>59.360138000105501</v>
      </c>
      <c r="Y21">
        <v>61.860201400006098</v>
      </c>
      <c r="Z21" t="s">
        <v>44</v>
      </c>
      <c r="AA21">
        <v>2.50704729999415</v>
      </c>
      <c r="AB21" t="s">
        <v>45</v>
      </c>
      <c r="AF21" t="s">
        <v>39</v>
      </c>
      <c r="AG21">
        <v>1</v>
      </c>
      <c r="AH21" t="s">
        <v>40</v>
      </c>
      <c r="AI21" t="s">
        <v>41</v>
      </c>
      <c r="AK21" t="s">
        <v>42</v>
      </c>
      <c r="AL21">
        <v>59.989765737873697</v>
      </c>
      <c r="AM21" t="s">
        <v>43</v>
      </c>
    </row>
    <row r="22" spans="1:39" x14ac:dyDescent="0.35">
      <c r="A22">
        <v>80</v>
      </c>
      <c r="B22">
        <v>110</v>
      </c>
      <c r="C22">
        <v>135</v>
      </c>
      <c r="D22">
        <v>19</v>
      </c>
      <c r="E22">
        <v>19</v>
      </c>
      <c r="F22">
        <v>0</v>
      </c>
      <c r="G22" t="s">
        <v>46</v>
      </c>
      <c r="H22">
        <v>1.71042980009224</v>
      </c>
      <c r="I22" t="s">
        <v>45</v>
      </c>
      <c r="J22">
        <v>0</v>
      </c>
      <c r="K22">
        <v>19</v>
      </c>
      <c r="L22">
        <v>19</v>
      </c>
      <c r="M22">
        <v>34</v>
      </c>
      <c r="N22">
        <v>61.875740000046697</v>
      </c>
      <c r="T22">
        <v>61.866934500052501</v>
      </c>
      <c r="U22">
        <v>61.875740000046697</v>
      </c>
      <c r="V22">
        <v>62.859805600019101</v>
      </c>
      <c r="W22">
        <v>62.859805600019101</v>
      </c>
      <c r="X22">
        <v>62.875845800037403</v>
      </c>
      <c r="Y22">
        <v>64.577138400054494</v>
      </c>
      <c r="Z22" t="s">
        <v>46</v>
      </c>
      <c r="AA22">
        <v>1.71042980009224</v>
      </c>
      <c r="AB22" t="s">
        <v>45</v>
      </c>
      <c r="AF22" t="s">
        <v>39</v>
      </c>
      <c r="AG22">
        <v>1</v>
      </c>
      <c r="AH22" t="s">
        <v>40</v>
      </c>
      <c r="AI22" t="s">
        <v>41</v>
      </c>
      <c r="AK22" t="s">
        <v>42</v>
      </c>
      <c r="AL22">
        <v>59.989765737873697</v>
      </c>
      <c r="AM22" t="s">
        <v>43</v>
      </c>
    </row>
    <row r="23" spans="1:39" x14ac:dyDescent="0.35">
      <c r="A23">
        <v>74</v>
      </c>
      <c r="B23">
        <v>160</v>
      </c>
      <c r="C23">
        <v>35</v>
      </c>
      <c r="D23">
        <v>20</v>
      </c>
      <c r="E23">
        <v>20</v>
      </c>
      <c r="F23">
        <v>0</v>
      </c>
      <c r="G23" t="s">
        <v>44</v>
      </c>
      <c r="H23">
        <v>4.2610601999331204</v>
      </c>
      <c r="I23" t="s">
        <v>45</v>
      </c>
      <c r="J23">
        <v>0</v>
      </c>
      <c r="K23">
        <v>20</v>
      </c>
      <c r="L23">
        <v>20</v>
      </c>
      <c r="M23">
        <v>77</v>
      </c>
      <c r="N23">
        <v>64.592355900094802</v>
      </c>
      <c r="T23">
        <v>64.5854617001023</v>
      </c>
      <c r="U23">
        <v>64.592355900094802</v>
      </c>
      <c r="V23">
        <v>65.592179800034501</v>
      </c>
      <c r="W23">
        <v>65.592179800034501</v>
      </c>
      <c r="X23">
        <v>65.592179800034501</v>
      </c>
      <c r="Y23">
        <v>69.860908500035293</v>
      </c>
      <c r="Z23" t="s">
        <v>44</v>
      </c>
      <c r="AA23">
        <v>4.2610601999331204</v>
      </c>
      <c r="AB23" t="s">
        <v>45</v>
      </c>
      <c r="AF23" t="s">
        <v>39</v>
      </c>
      <c r="AG23">
        <v>1</v>
      </c>
      <c r="AH23" t="s">
        <v>40</v>
      </c>
      <c r="AI23" t="s">
        <v>41</v>
      </c>
      <c r="AK23" t="s">
        <v>42</v>
      </c>
      <c r="AL23">
        <v>59.989765737873697</v>
      </c>
      <c r="AM23" t="s">
        <v>43</v>
      </c>
    </row>
    <row r="24" spans="1:39" x14ac:dyDescent="0.35">
      <c r="A24">
        <v>82</v>
      </c>
      <c r="B24">
        <v>180</v>
      </c>
      <c r="C24">
        <v>39</v>
      </c>
      <c r="D24">
        <v>21</v>
      </c>
      <c r="E24">
        <v>21</v>
      </c>
      <c r="F24">
        <v>0</v>
      </c>
      <c r="G24" t="s">
        <v>44</v>
      </c>
      <c r="H24">
        <v>1.14617580000776</v>
      </c>
      <c r="I24" t="s">
        <v>45</v>
      </c>
      <c r="J24">
        <v>0</v>
      </c>
      <c r="K24">
        <v>21</v>
      </c>
      <c r="L24">
        <v>21</v>
      </c>
      <c r="M24">
        <v>81</v>
      </c>
      <c r="N24">
        <v>69.876041000010403</v>
      </c>
      <c r="T24">
        <v>69.869670500047505</v>
      </c>
      <c r="U24">
        <v>69.876041000010403</v>
      </c>
      <c r="V24">
        <v>70.8760107000125</v>
      </c>
      <c r="W24">
        <v>70.8760107000125</v>
      </c>
      <c r="X24">
        <v>70.8760107000125</v>
      </c>
      <c r="Y24">
        <v>72.027514400076996</v>
      </c>
      <c r="Z24" t="s">
        <v>44</v>
      </c>
      <c r="AA24">
        <v>1.14617580000776</v>
      </c>
      <c r="AB24" t="s">
        <v>45</v>
      </c>
      <c r="AF24" t="s">
        <v>39</v>
      </c>
      <c r="AG24">
        <v>1</v>
      </c>
      <c r="AH24" t="s">
        <v>40</v>
      </c>
      <c r="AI24" t="s">
        <v>41</v>
      </c>
      <c r="AK24" t="s">
        <v>42</v>
      </c>
      <c r="AL24">
        <v>59.989765737873697</v>
      </c>
      <c r="AM24" t="s">
        <v>43</v>
      </c>
    </row>
    <row r="25" spans="1:39" x14ac:dyDescent="0.35">
      <c r="A25">
        <v>18</v>
      </c>
      <c r="B25">
        <v>32</v>
      </c>
      <c r="C25">
        <v>9</v>
      </c>
      <c r="D25">
        <v>22</v>
      </c>
      <c r="E25">
        <v>22</v>
      </c>
      <c r="F25">
        <v>0</v>
      </c>
      <c r="G25" t="s">
        <v>46</v>
      </c>
      <c r="H25">
        <v>1.1759187000570801</v>
      </c>
      <c r="I25" t="s">
        <v>45</v>
      </c>
      <c r="J25">
        <v>0</v>
      </c>
      <c r="K25">
        <v>22</v>
      </c>
      <c r="L25">
        <v>22</v>
      </c>
      <c r="M25">
        <v>8</v>
      </c>
      <c r="N25">
        <v>72.042197400005506</v>
      </c>
      <c r="T25">
        <v>72.034291200106907</v>
      </c>
      <c r="U25">
        <v>72.042197400005506</v>
      </c>
      <c r="V25">
        <v>73.026396300061606</v>
      </c>
      <c r="W25">
        <v>73.026396300061606</v>
      </c>
      <c r="X25">
        <v>73.043463000096295</v>
      </c>
      <c r="Y25">
        <v>74.210460900096194</v>
      </c>
      <c r="Z25" t="s">
        <v>46</v>
      </c>
      <c r="AA25">
        <v>1.1759187000570801</v>
      </c>
      <c r="AB25" t="s">
        <v>45</v>
      </c>
      <c r="AF25" t="s">
        <v>39</v>
      </c>
      <c r="AG25">
        <v>1</v>
      </c>
      <c r="AH25" t="s">
        <v>40</v>
      </c>
      <c r="AI25" t="s">
        <v>41</v>
      </c>
      <c r="AK25" t="s">
        <v>42</v>
      </c>
      <c r="AL25">
        <v>59.989765737873697</v>
      </c>
      <c r="AM25" t="s">
        <v>43</v>
      </c>
    </row>
    <row r="26" spans="1:39" x14ac:dyDescent="0.35">
      <c r="A26">
        <v>110</v>
      </c>
      <c r="B26">
        <v>250</v>
      </c>
      <c r="C26">
        <v>53</v>
      </c>
      <c r="D26">
        <v>23</v>
      </c>
      <c r="E26">
        <v>23</v>
      </c>
      <c r="F26">
        <v>0</v>
      </c>
      <c r="G26" t="s">
        <v>44</v>
      </c>
      <c r="H26">
        <v>1.3639817000366701</v>
      </c>
      <c r="I26" t="s">
        <v>45</v>
      </c>
      <c r="J26">
        <v>0</v>
      </c>
      <c r="K26">
        <v>23</v>
      </c>
      <c r="L26">
        <v>23</v>
      </c>
      <c r="M26">
        <v>95</v>
      </c>
      <c r="N26">
        <v>74.225627500098199</v>
      </c>
      <c r="T26">
        <v>74.218852100078905</v>
      </c>
      <c r="U26">
        <v>74.225627500098199</v>
      </c>
      <c r="V26">
        <v>75.226179799996302</v>
      </c>
      <c r="W26">
        <v>75.226179799996302</v>
      </c>
      <c r="X26">
        <v>75.226179799996302</v>
      </c>
      <c r="Y26">
        <v>76.592922800104105</v>
      </c>
      <c r="Z26" t="s">
        <v>44</v>
      </c>
      <c r="AA26">
        <v>1.3639817000366701</v>
      </c>
      <c r="AB26" t="s">
        <v>45</v>
      </c>
      <c r="AF26" t="s">
        <v>39</v>
      </c>
      <c r="AG26">
        <v>1</v>
      </c>
      <c r="AH26" t="s">
        <v>40</v>
      </c>
      <c r="AI26" t="s">
        <v>41</v>
      </c>
      <c r="AK26" t="s">
        <v>42</v>
      </c>
      <c r="AL26">
        <v>59.989765737873697</v>
      </c>
      <c r="AM26" t="s">
        <v>43</v>
      </c>
    </row>
    <row r="27" spans="1:39" x14ac:dyDescent="0.35">
      <c r="A27">
        <v>72</v>
      </c>
      <c r="B27">
        <v>96</v>
      </c>
      <c r="C27">
        <v>115</v>
      </c>
      <c r="D27">
        <v>24</v>
      </c>
      <c r="E27">
        <v>24</v>
      </c>
      <c r="F27">
        <v>0</v>
      </c>
      <c r="G27" t="s">
        <v>46</v>
      </c>
      <c r="H27">
        <v>1.18857530003879</v>
      </c>
      <c r="I27" t="s">
        <v>45</v>
      </c>
      <c r="J27">
        <v>0</v>
      </c>
      <c r="K27">
        <v>24</v>
      </c>
      <c r="L27">
        <v>24</v>
      </c>
      <c r="M27">
        <v>30</v>
      </c>
      <c r="N27">
        <v>76.618504400015794</v>
      </c>
      <c r="T27">
        <v>76.614193500019596</v>
      </c>
      <c r="U27">
        <v>76.618504400015794</v>
      </c>
      <c r="V27">
        <v>77.592169000068594</v>
      </c>
      <c r="W27">
        <v>77.592169000068594</v>
      </c>
      <c r="X27">
        <v>77.625921500031794</v>
      </c>
      <c r="Y27">
        <v>78.793710400001103</v>
      </c>
      <c r="Z27" t="s">
        <v>46</v>
      </c>
      <c r="AA27">
        <v>1.18857530003879</v>
      </c>
      <c r="AB27" t="s">
        <v>45</v>
      </c>
      <c r="AF27" t="s">
        <v>39</v>
      </c>
      <c r="AG27">
        <v>1</v>
      </c>
      <c r="AH27" t="s">
        <v>40</v>
      </c>
      <c r="AI27" t="s">
        <v>41</v>
      </c>
      <c r="AK27" t="s">
        <v>42</v>
      </c>
      <c r="AL27">
        <v>59.989765737873697</v>
      </c>
      <c r="AM27" t="s">
        <v>43</v>
      </c>
    </row>
    <row r="28" spans="1:39" x14ac:dyDescent="0.35">
      <c r="A28">
        <v>53</v>
      </c>
      <c r="B28">
        <v>78</v>
      </c>
      <c r="C28">
        <v>70</v>
      </c>
      <c r="D28">
        <v>25</v>
      </c>
      <c r="E28">
        <v>25</v>
      </c>
      <c r="F28">
        <v>0</v>
      </c>
      <c r="G28" t="s">
        <v>46</v>
      </c>
      <c r="H28">
        <v>3.0716404999839102</v>
      </c>
      <c r="I28" t="s">
        <v>45</v>
      </c>
      <c r="J28">
        <v>0</v>
      </c>
      <c r="K28">
        <v>25</v>
      </c>
      <c r="L28">
        <v>25</v>
      </c>
      <c r="M28">
        <v>21</v>
      </c>
      <c r="N28">
        <v>78.808895500027504</v>
      </c>
      <c r="T28">
        <v>78.801469600060898</v>
      </c>
      <c r="U28">
        <v>78.808895500027504</v>
      </c>
      <c r="V28">
        <v>79.792519400012594</v>
      </c>
      <c r="W28">
        <v>79.792519400012594</v>
      </c>
      <c r="X28">
        <v>79.809562800102796</v>
      </c>
      <c r="Y28">
        <v>82.876779500045799</v>
      </c>
      <c r="Z28" t="s">
        <v>46</v>
      </c>
      <c r="AA28">
        <v>3.0716404999839102</v>
      </c>
      <c r="AB28" t="s">
        <v>45</v>
      </c>
      <c r="AF28" t="s">
        <v>39</v>
      </c>
      <c r="AG28">
        <v>1</v>
      </c>
      <c r="AH28" t="s">
        <v>40</v>
      </c>
      <c r="AI28" t="s">
        <v>41</v>
      </c>
      <c r="AK28" t="s">
        <v>42</v>
      </c>
      <c r="AL28">
        <v>59.989765737873697</v>
      </c>
      <c r="AM28" t="s">
        <v>43</v>
      </c>
    </row>
    <row r="29" spans="1:39" x14ac:dyDescent="0.35">
      <c r="A29">
        <v>24</v>
      </c>
      <c r="B29">
        <v>48</v>
      </c>
      <c r="C29">
        <v>10</v>
      </c>
      <c r="D29">
        <v>26</v>
      </c>
      <c r="E29">
        <v>26</v>
      </c>
      <c r="F29">
        <v>0</v>
      </c>
      <c r="G29" t="s">
        <v>46</v>
      </c>
      <c r="H29">
        <v>1.14621999999508</v>
      </c>
      <c r="I29" t="s">
        <v>45</v>
      </c>
      <c r="J29">
        <v>0</v>
      </c>
      <c r="K29">
        <v>26</v>
      </c>
      <c r="L29">
        <v>26</v>
      </c>
      <c r="M29">
        <v>52</v>
      </c>
      <c r="N29">
        <v>82.892564600100698</v>
      </c>
      <c r="T29">
        <v>82.884414000087403</v>
      </c>
      <c r="U29">
        <v>82.892564600100698</v>
      </c>
      <c r="V29">
        <v>83.892545100068602</v>
      </c>
      <c r="W29">
        <v>83.892545100068602</v>
      </c>
      <c r="X29">
        <v>83.892545100068602</v>
      </c>
      <c r="Y29">
        <v>85.046445800107904</v>
      </c>
      <c r="Z29" t="s">
        <v>46</v>
      </c>
      <c r="AA29">
        <v>1.14621999999508</v>
      </c>
      <c r="AB29" t="s">
        <v>45</v>
      </c>
      <c r="AF29" t="s">
        <v>39</v>
      </c>
      <c r="AG29">
        <v>1</v>
      </c>
      <c r="AH29" t="s">
        <v>40</v>
      </c>
      <c r="AI29" t="s">
        <v>41</v>
      </c>
      <c r="AK29" t="s">
        <v>42</v>
      </c>
      <c r="AL29">
        <v>59.989765737873697</v>
      </c>
      <c r="AM29" t="s">
        <v>43</v>
      </c>
    </row>
    <row r="30" spans="1:39" x14ac:dyDescent="0.35">
      <c r="A30">
        <v>12</v>
      </c>
      <c r="B30">
        <v>25</v>
      </c>
      <c r="C30">
        <v>5</v>
      </c>
      <c r="D30">
        <v>27</v>
      </c>
      <c r="E30">
        <v>27</v>
      </c>
      <c r="F30">
        <v>0</v>
      </c>
      <c r="G30" t="s">
        <v>44</v>
      </c>
      <c r="H30">
        <v>1.2232429999858101</v>
      </c>
      <c r="I30" t="s">
        <v>45</v>
      </c>
      <c r="J30">
        <v>0</v>
      </c>
      <c r="K30">
        <v>27</v>
      </c>
      <c r="L30">
        <v>27</v>
      </c>
      <c r="M30">
        <v>7</v>
      </c>
      <c r="N30">
        <v>85.058706800104105</v>
      </c>
      <c r="T30">
        <v>85.053152900072703</v>
      </c>
      <c r="U30">
        <v>85.058706800104105</v>
      </c>
      <c r="V30">
        <v>86.059240500093395</v>
      </c>
      <c r="W30">
        <v>86.059240500093395</v>
      </c>
      <c r="X30">
        <v>86.059240500093395</v>
      </c>
      <c r="Y30">
        <v>87.292672900017294</v>
      </c>
      <c r="Z30" t="s">
        <v>44</v>
      </c>
      <c r="AA30">
        <v>1.2232429999858101</v>
      </c>
      <c r="AB30" t="s">
        <v>45</v>
      </c>
      <c r="AF30" t="s">
        <v>39</v>
      </c>
      <c r="AG30">
        <v>1</v>
      </c>
      <c r="AH30" t="s">
        <v>40</v>
      </c>
      <c r="AI30" t="s">
        <v>41</v>
      </c>
      <c r="AK30" t="s">
        <v>42</v>
      </c>
      <c r="AL30">
        <v>59.989765737873697</v>
      </c>
      <c r="AM30" t="s">
        <v>43</v>
      </c>
    </row>
    <row r="31" spans="1:39" x14ac:dyDescent="0.35">
      <c r="A31">
        <v>86</v>
      </c>
      <c r="B31">
        <v>190</v>
      </c>
      <c r="C31">
        <v>41</v>
      </c>
      <c r="D31">
        <v>28</v>
      </c>
      <c r="E31">
        <v>28</v>
      </c>
      <c r="F31">
        <v>0</v>
      </c>
      <c r="G31" t="s">
        <v>44</v>
      </c>
      <c r="H31">
        <v>1.4347880999557601</v>
      </c>
      <c r="I31" t="s">
        <v>45</v>
      </c>
      <c r="J31">
        <v>0</v>
      </c>
      <c r="K31">
        <v>28</v>
      </c>
      <c r="L31">
        <v>28</v>
      </c>
      <c r="M31">
        <v>83</v>
      </c>
      <c r="N31">
        <v>87.308504700078601</v>
      </c>
      <c r="T31">
        <v>87.303750600083703</v>
      </c>
      <c r="U31">
        <v>87.308504700078601</v>
      </c>
      <c r="V31">
        <v>88.292465800070204</v>
      </c>
      <c r="W31">
        <v>88.292465800070204</v>
      </c>
      <c r="X31">
        <v>88.309504200005904</v>
      </c>
      <c r="Y31">
        <v>89.728889100020695</v>
      </c>
      <c r="Z31" t="s">
        <v>44</v>
      </c>
      <c r="AA31">
        <v>1.4347880999557601</v>
      </c>
      <c r="AB31" t="s">
        <v>45</v>
      </c>
      <c r="AF31" t="s">
        <v>39</v>
      </c>
      <c r="AG31">
        <v>1</v>
      </c>
      <c r="AH31" t="s">
        <v>40</v>
      </c>
      <c r="AI31" t="s">
        <v>41</v>
      </c>
      <c r="AK31" t="s">
        <v>42</v>
      </c>
      <c r="AL31">
        <v>59.989765737873697</v>
      </c>
      <c r="AM31" t="s">
        <v>43</v>
      </c>
    </row>
    <row r="32" spans="1:39" x14ac:dyDescent="0.35">
      <c r="A32">
        <v>80</v>
      </c>
      <c r="B32">
        <v>175</v>
      </c>
      <c r="C32">
        <v>38</v>
      </c>
      <c r="D32">
        <v>29</v>
      </c>
      <c r="E32">
        <v>29</v>
      </c>
      <c r="F32">
        <v>0</v>
      </c>
      <c r="G32" t="s">
        <v>44</v>
      </c>
      <c r="H32">
        <v>3.4169874000362999</v>
      </c>
      <c r="I32" t="s">
        <v>45</v>
      </c>
      <c r="J32">
        <v>0</v>
      </c>
      <c r="K32">
        <v>29</v>
      </c>
      <c r="L32">
        <v>29</v>
      </c>
      <c r="M32">
        <v>80</v>
      </c>
      <c r="N32">
        <v>89.741810000035898</v>
      </c>
      <c r="T32">
        <v>89.736863300087805</v>
      </c>
      <c r="U32">
        <v>89.741810000035898</v>
      </c>
      <c r="V32">
        <v>90.742678300011903</v>
      </c>
      <c r="W32">
        <v>90.742678300011903</v>
      </c>
      <c r="X32">
        <v>90.742678300011903</v>
      </c>
      <c r="Y32">
        <v>94.161375700030405</v>
      </c>
      <c r="Z32" t="s">
        <v>44</v>
      </c>
      <c r="AA32">
        <v>3.4169874000362999</v>
      </c>
      <c r="AB32" t="s">
        <v>45</v>
      </c>
      <c r="AF32" t="s">
        <v>39</v>
      </c>
      <c r="AG32">
        <v>1</v>
      </c>
      <c r="AH32" t="s">
        <v>40</v>
      </c>
      <c r="AI32" t="s">
        <v>41</v>
      </c>
      <c r="AK32" t="s">
        <v>42</v>
      </c>
      <c r="AL32">
        <v>59.989765737873697</v>
      </c>
      <c r="AM32" t="s">
        <v>43</v>
      </c>
    </row>
    <row r="33" spans="1:39" x14ac:dyDescent="0.35">
      <c r="A33">
        <v>88</v>
      </c>
      <c r="B33">
        <v>195</v>
      </c>
      <c r="C33">
        <v>42</v>
      </c>
      <c r="D33">
        <v>30</v>
      </c>
      <c r="E33">
        <v>30</v>
      </c>
      <c r="F33">
        <v>0</v>
      </c>
      <c r="G33" t="s">
        <v>46</v>
      </c>
      <c r="H33">
        <v>5.2347423000028304</v>
      </c>
      <c r="I33" t="s">
        <v>45</v>
      </c>
      <c r="J33">
        <v>0</v>
      </c>
      <c r="K33">
        <v>30</v>
      </c>
      <c r="L33">
        <v>30</v>
      </c>
      <c r="M33">
        <v>84</v>
      </c>
      <c r="N33">
        <v>94.176051700022001</v>
      </c>
      <c r="T33">
        <v>94.168826500070196</v>
      </c>
      <c r="U33">
        <v>94.176051700022001</v>
      </c>
      <c r="V33">
        <v>95.176723100012097</v>
      </c>
      <c r="W33">
        <v>95.176723100012097</v>
      </c>
      <c r="X33">
        <v>95.176723100012097</v>
      </c>
      <c r="Y33">
        <v>100.412083900067</v>
      </c>
      <c r="Z33" t="s">
        <v>46</v>
      </c>
      <c r="AA33">
        <v>5.2347423000028304</v>
      </c>
      <c r="AB33" t="s">
        <v>45</v>
      </c>
      <c r="AF33" t="s">
        <v>39</v>
      </c>
      <c r="AG33">
        <v>1</v>
      </c>
      <c r="AH33" t="s">
        <v>40</v>
      </c>
      <c r="AI33" t="s">
        <v>41</v>
      </c>
      <c r="AK33" t="s">
        <v>42</v>
      </c>
      <c r="AL33">
        <v>59.989765737873697</v>
      </c>
      <c r="AM33" t="s">
        <v>43</v>
      </c>
    </row>
    <row r="34" spans="1:39" x14ac:dyDescent="0.35">
      <c r="A34">
        <v>60</v>
      </c>
      <c r="B34">
        <v>125</v>
      </c>
      <c r="C34">
        <v>28</v>
      </c>
      <c r="D34">
        <v>31</v>
      </c>
      <c r="E34">
        <v>31</v>
      </c>
      <c r="F34">
        <v>0</v>
      </c>
      <c r="G34" t="s">
        <v>44</v>
      </c>
      <c r="H34">
        <v>1.32237570011056</v>
      </c>
      <c r="I34" t="s">
        <v>45</v>
      </c>
      <c r="J34">
        <v>0</v>
      </c>
      <c r="K34">
        <v>31</v>
      </c>
      <c r="L34">
        <v>31</v>
      </c>
      <c r="M34">
        <v>70</v>
      </c>
      <c r="N34">
        <v>100.425377900013</v>
      </c>
      <c r="T34">
        <v>100.419729300076</v>
      </c>
      <c r="U34">
        <v>100.425377900013</v>
      </c>
      <c r="V34">
        <v>101.42560890002601</v>
      </c>
      <c r="W34">
        <v>101.42560890002601</v>
      </c>
      <c r="X34">
        <v>101.42560890002601</v>
      </c>
      <c r="Y34">
        <v>102.759880700032</v>
      </c>
      <c r="Z34" t="s">
        <v>44</v>
      </c>
      <c r="AA34">
        <v>1.32237570011056</v>
      </c>
      <c r="AB34" t="s">
        <v>45</v>
      </c>
      <c r="AF34" t="s">
        <v>39</v>
      </c>
      <c r="AG34">
        <v>1</v>
      </c>
      <c r="AH34" t="s">
        <v>40</v>
      </c>
      <c r="AI34" t="s">
        <v>41</v>
      </c>
      <c r="AK34" t="s">
        <v>42</v>
      </c>
      <c r="AL34">
        <v>59.989765737873697</v>
      </c>
      <c r="AM34" t="s">
        <v>43</v>
      </c>
    </row>
    <row r="35" spans="1:39" x14ac:dyDescent="0.35">
      <c r="A35">
        <v>14</v>
      </c>
      <c r="B35">
        <v>28</v>
      </c>
      <c r="C35">
        <v>5</v>
      </c>
      <c r="D35">
        <v>32</v>
      </c>
      <c r="E35">
        <v>32</v>
      </c>
      <c r="F35">
        <v>0</v>
      </c>
      <c r="G35" t="s">
        <v>44</v>
      </c>
      <c r="H35">
        <v>2.1025376999750698</v>
      </c>
      <c r="I35" t="s">
        <v>45</v>
      </c>
      <c r="J35">
        <v>0</v>
      </c>
      <c r="K35">
        <v>32</v>
      </c>
      <c r="L35">
        <v>32</v>
      </c>
      <c r="M35">
        <v>47</v>
      </c>
      <c r="N35">
        <v>102.77490080008199</v>
      </c>
      <c r="T35">
        <v>102.766486000036</v>
      </c>
      <c r="U35">
        <v>102.77490080008199</v>
      </c>
      <c r="V35">
        <v>103.775868199998</v>
      </c>
      <c r="W35">
        <v>103.775868199998</v>
      </c>
      <c r="X35">
        <v>103.775868199998</v>
      </c>
      <c r="Y35">
        <v>105.89349060005</v>
      </c>
      <c r="Z35" t="s">
        <v>44</v>
      </c>
      <c r="AA35">
        <v>2.1025376999750698</v>
      </c>
      <c r="AB35" t="s">
        <v>45</v>
      </c>
      <c r="AF35" t="s">
        <v>39</v>
      </c>
      <c r="AG35">
        <v>1</v>
      </c>
      <c r="AH35" t="s">
        <v>40</v>
      </c>
      <c r="AI35" t="s">
        <v>41</v>
      </c>
      <c r="AK35" t="s">
        <v>42</v>
      </c>
      <c r="AL35">
        <v>59.989765737873697</v>
      </c>
      <c r="AM35" t="s">
        <v>43</v>
      </c>
    </row>
    <row r="36" spans="1:39" x14ac:dyDescent="0.35">
      <c r="A36">
        <v>30</v>
      </c>
      <c r="B36">
        <v>52</v>
      </c>
      <c r="C36">
        <v>25</v>
      </c>
      <c r="D36">
        <v>33</v>
      </c>
      <c r="E36">
        <v>33</v>
      </c>
      <c r="F36">
        <v>0</v>
      </c>
      <c r="G36" t="s">
        <v>46</v>
      </c>
      <c r="H36">
        <v>6.9631633999524603</v>
      </c>
      <c r="I36" t="s">
        <v>45</v>
      </c>
      <c r="J36">
        <v>0</v>
      </c>
      <c r="K36">
        <v>33</v>
      </c>
      <c r="L36">
        <v>33</v>
      </c>
      <c r="M36">
        <v>12</v>
      </c>
      <c r="N36">
        <v>105.908444000058</v>
      </c>
      <c r="T36">
        <v>105.902694600052</v>
      </c>
      <c r="U36">
        <v>105.908444000058</v>
      </c>
      <c r="V36">
        <v>106.908804900012</v>
      </c>
      <c r="W36">
        <v>106.908804900012</v>
      </c>
      <c r="X36">
        <v>106.908804900012</v>
      </c>
      <c r="Y36">
        <v>113.876095600076</v>
      </c>
      <c r="Z36" t="s">
        <v>46</v>
      </c>
      <c r="AA36">
        <v>6.9631633999524603</v>
      </c>
      <c r="AB36" t="s">
        <v>45</v>
      </c>
      <c r="AF36" t="s">
        <v>39</v>
      </c>
      <c r="AG36">
        <v>1</v>
      </c>
      <c r="AH36" t="s">
        <v>40</v>
      </c>
      <c r="AI36" t="s">
        <v>41</v>
      </c>
      <c r="AK36" t="s">
        <v>42</v>
      </c>
      <c r="AL36">
        <v>59.989765737873697</v>
      </c>
      <c r="AM36" t="s">
        <v>43</v>
      </c>
    </row>
    <row r="37" spans="1:39" x14ac:dyDescent="0.35">
      <c r="A37">
        <v>102</v>
      </c>
      <c r="B37">
        <v>230</v>
      </c>
      <c r="C37">
        <v>49</v>
      </c>
      <c r="D37">
        <v>34</v>
      </c>
      <c r="E37">
        <v>34</v>
      </c>
      <c r="F37">
        <v>0</v>
      </c>
      <c r="G37" t="s">
        <v>44</v>
      </c>
      <c r="H37">
        <v>2.4301609999965801</v>
      </c>
      <c r="I37" t="s">
        <v>45</v>
      </c>
      <c r="J37">
        <v>0</v>
      </c>
      <c r="K37">
        <v>34</v>
      </c>
      <c r="L37">
        <v>34</v>
      </c>
      <c r="M37">
        <v>91</v>
      </c>
      <c r="N37">
        <v>113.891445300076</v>
      </c>
      <c r="T37">
        <v>113.883495600079</v>
      </c>
      <c r="U37">
        <v>113.891445300076</v>
      </c>
      <c r="V37">
        <v>114.891377300024</v>
      </c>
      <c r="W37">
        <v>114.891377300024</v>
      </c>
      <c r="X37">
        <v>114.891377300024</v>
      </c>
      <c r="Y37">
        <v>117.326312900055</v>
      </c>
      <c r="Z37" t="s">
        <v>44</v>
      </c>
      <c r="AA37">
        <v>2.4301609999965801</v>
      </c>
      <c r="AB37" t="s">
        <v>45</v>
      </c>
      <c r="AF37" t="s">
        <v>39</v>
      </c>
      <c r="AG37">
        <v>1</v>
      </c>
      <c r="AH37" t="s">
        <v>40</v>
      </c>
      <c r="AI37" t="s">
        <v>41</v>
      </c>
      <c r="AK37" t="s">
        <v>42</v>
      </c>
      <c r="AL37">
        <v>59.989765737873697</v>
      </c>
      <c r="AM37" t="s">
        <v>43</v>
      </c>
    </row>
    <row r="38" spans="1:39" x14ac:dyDescent="0.35">
      <c r="A38">
        <v>116</v>
      </c>
      <c r="B38">
        <v>265</v>
      </c>
      <c r="C38">
        <v>56</v>
      </c>
      <c r="D38">
        <v>35</v>
      </c>
      <c r="E38">
        <v>35</v>
      </c>
      <c r="F38">
        <v>0</v>
      </c>
      <c r="G38" t="s">
        <v>44</v>
      </c>
      <c r="H38">
        <v>1.4033522999379699</v>
      </c>
      <c r="I38" t="s">
        <v>45</v>
      </c>
      <c r="J38">
        <v>0</v>
      </c>
      <c r="K38">
        <v>35</v>
      </c>
      <c r="L38">
        <v>35</v>
      </c>
      <c r="M38">
        <v>98</v>
      </c>
      <c r="N38">
        <v>117.341243000002</v>
      </c>
      <c r="T38">
        <v>117.33340850006699</v>
      </c>
      <c r="U38">
        <v>117.341243000002</v>
      </c>
      <c r="V38">
        <v>118.3251743</v>
      </c>
      <c r="W38">
        <v>118.3251743</v>
      </c>
      <c r="X38">
        <v>118.341937900055</v>
      </c>
      <c r="Y38">
        <v>119.742147400043</v>
      </c>
      <c r="Z38" t="s">
        <v>44</v>
      </c>
      <c r="AA38">
        <v>1.4033522999379699</v>
      </c>
      <c r="AB38" t="s">
        <v>45</v>
      </c>
      <c r="AF38" t="s">
        <v>39</v>
      </c>
      <c r="AG38">
        <v>1</v>
      </c>
      <c r="AH38" t="s">
        <v>40</v>
      </c>
      <c r="AI38" t="s">
        <v>41</v>
      </c>
      <c r="AK38" t="s">
        <v>42</v>
      </c>
      <c r="AL38">
        <v>59.989765737873697</v>
      </c>
      <c r="AM38" t="s">
        <v>43</v>
      </c>
    </row>
    <row r="39" spans="1:39" x14ac:dyDescent="0.35">
      <c r="A39">
        <v>50</v>
      </c>
      <c r="B39">
        <v>100</v>
      </c>
      <c r="C39">
        <v>23</v>
      </c>
      <c r="D39">
        <v>36</v>
      </c>
      <c r="E39">
        <v>36</v>
      </c>
      <c r="F39">
        <v>0</v>
      </c>
      <c r="G39" t="s">
        <v>46</v>
      </c>
      <c r="H39">
        <v>3.26651230000425</v>
      </c>
      <c r="I39" t="s">
        <v>45</v>
      </c>
      <c r="J39">
        <v>0</v>
      </c>
      <c r="K39">
        <v>36</v>
      </c>
      <c r="L39">
        <v>36</v>
      </c>
      <c r="M39">
        <v>65</v>
      </c>
      <c r="N39">
        <v>119.75793020008101</v>
      </c>
      <c r="T39">
        <v>119.751442900043</v>
      </c>
      <c r="U39">
        <v>119.75793020008101</v>
      </c>
      <c r="V39">
        <v>120.74131650000299</v>
      </c>
      <c r="W39">
        <v>120.74131650000299</v>
      </c>
      <c r="X39">
        <v>120.75806480005799</v>
      </c>
      <c r="Y39">
        <v>124.009278300101</v>
      </c>
      <c r="Z39" t="s">
        <v>46</v>
      </c>
      <c r="AA39">
        <v>3.26651230000425</v>
      </c>
      <c r="AB39" t="s">
        <v>45</v>
      </c>
      <c r="AF39" t="s">
        <v>39</v>
      </c>
      <c r="AG39">
        <v>1</v>
      </c>
      <c r="AH39" t="s">
        <v>40</v>
      </c>
      <c r="AI39" t="s">
        <v>41</v>
      </c>
      <c r="AK39" t="s">
        <v>42</v>
      </c>
      <c r="AL39">
        <v>59.989765737873697</v>
      </c>
      <c r="AM39" t="s">
        <v>43</v>
      </c>
    </row>
    <row r="40" spans="1:39" x14ac:dyDescent="0.35">
      <c r="A40">
        <v>16</v>
      </c>
      <c r="B40">
        <v>32</v>
      </c>
      <c r="C40">
        <v>6</v>
      </c>
      <c r="D40">
        <v>37</v>
      </c>
      <c r="E40">
        <v>37</v>
      </c>
      <c r="F40">
        <v>0</v>
      </c>
      <c r="G40" t="s">
        <v>44</v>
      </c>
      <c r="H40">
        <v>2.2474982000421702</v>
      </c>
      <c r="I40" t="s">
        <v>45</v>
      </c>
      <c r="J40">
        <v>0</v>
      </c>
      <c r="K40">
        <v>37</v>
      </c>
      <c r="L40">
        <v>37</v>
      </c>
      <c r="M40">
        <v>48</v>
      </c>
      <c r="N40">
        <v>124.02458080009001</v>
      </c>
      <c r="T40">
        <v>124.017611400107</v>
      </c>
      <c r="U40">
        <v>124.02458080009001</v>
      </c>
      <c r="V40">
        <v>125.00797550007699</v>
      </c>
      <c r="W40">
        <v>125.00797550007699</v>
      </c>
      <c r="X40">
        <v>125.024670800077</v>
      </c>
      <c r="Y40">
        <v>127.25862890004601</v>
      </c>
      <c r="Z40" t="s">
        <v>44</v>
      </c>
      <c r="AA40">
        <v>2.2474982000421702</v>
      </c>
      <c r="AB40" t="s">
        <v>45</v>
      </c>
      <c r="AF40" t="s">
        <v>39</v>
      </c>
      <c r="AG40">
        <v>1</v>
      </c>
      <c r="AH40" t="s">
        <v>40</v>
      </c>
      <c r="AI40" t="s">
        <v>41</v>
      </c>
      <c r="AK40" t="s">
        <v>42</v>
      </c>
      <c r="AL40">
        <v>59.989765737873697</v>
      </c>
      <c r="AM40" t="s">
        <v>43</v>
      </c>
    </row>
    <row r="41" spans="1:39" x14ac:dyDescent="0.35">
      <c r="A41">
        <v>26</v>
      </c>
      <c r="B41">
        <v>52</v>
      </c>
      <c r="C41">
        <v>11</v>
      </c>
      <c r="D41">
        <v>38</v>
      </c>
      <c r="E41">
        <v>38</v>
      </c>
      <c r="F41">
        <v>0</v>
      </c>
      <c r="G41" t="s">
        <v>44</v>
      </c>
      <c r="H41">
        <v>1.6222275000763999</v>
      </c>
      <c r="I41" t="s">
        <v>45</v>
      </c>
      <c r="J41">
        <v>0</v>
      </c>
      <c r="K41">
        <v>38</v>
      </c>
      <c r="L41">
        <v>38</v>
      </c>
      <c r="M41">
        <v>53</v>
      </c>
      <c r="N41">
        <v>127.274841100093</v>
      </c>
      <c r="T41">
        <v>127.26817090006</v>
      </c>
      <c r="U41">
        <v>127.274841100093</v>
      </c>
      <c r="V41">
        <v>128.258132400107</v>
      </c>
      <c r="W41">
        <v>128.258132400107</v>
      </c>
      <c r="X41">
        <v>128.27511650009501</v>
      </c>
      <c r="Y41">
        <v>129.894020900013</v>
      </c>
      <c r="Z41" t="s">
        <v>44</v>
      </c>
      <c r="AA41">
        <v>1.6222275000763999</v>
      </c>
      <c r="AB41" t="s">
        <v>45</v>
      </c>
      <c r="AF41" t="s">
        <v>39</v>
      </c>
      <c r="AG41">
        <v>1</v>
      </c>
      <c r="AH41" t="s">
        <v>40</v>
      </c>
      <c r="AI41" t="s">
        <v>41</v>
      </c>
      <c r="AK41" t="s">
        <v>42</v>
      </c>
      <c r="AL41">
        <v>59.989765737873697</v>
      </c>
      <c r="AM41" t="s">
        <v>43</v>
      </c>
    </row>
    <row r="42" spans="1:39" x14ac:dyDescent="0.35">
      <c r="A42">
        <v>20</v>
      </c>
      <c r="B42">
        <v>38</v>
      </c>
      <c r="C42">
        <v>12</v>
      </c>
      <c r="D42">
        <v>39</v>
      </c>
      <c r="E42">
        <v>39</v>
      </c>
      <c r="F42">
        <v>0</v>
      </c>
      <c r="G42" t="s">
        <v>44</v>
      </c>
      <c r="H42">
        <v>1.8390141000272699</v>
      </c>
      <c r="I42" t="s">
        <v>45</v>
      </c>
      <c r="J42">
        <v>0</v>
      </c>
      <c r="K42">
        <v>39</v>
      </c>
      <c r="L42">
        <v>39</v>
      </c>
      <c r="M42">
        <v>9</v>
      </c>
      <c r="N42">
        <v>129.908011500025</v>
      </c>
      <c r="T42">
        <v>129.90293710003601</v>
      </c>
      <c r="U42">
        <v>129.908011500025</v>
      </c>
      <c r="V42">
        <v>130.908039500005</v>
      </c>
      <c r="W42">
        <v>130.908039500005</v>
      </c>
      <c r="X42">
        <v>130.908039500005</v>
      </c>
      <c r="Y42">
        <v>132.75855650007699</v>
      </c>
      <c r="Z42" t="s">
        <v>44</v>
      </c>
      <c r="AA42">
        <v>1.8390141000272699</v>
      </c>
      <c r="AB42" t="s">
        <v>45</v>
      </c>
      <c r="AF42" t="s">
        <v>39</v>
      </c>
      <c r="AG42">
        <v>1</v>
      </c>
      <c r="AH42" t="s">
        <v>40</v>
      </c>
      <c r="AI42" t="s">
        <v>41</v>
      </c>
      <c r="AK42" t="s">
        <v>42</v>
      </c>
      <c r="AL42">
        <v>59.989765737873697</v>
      </c>
      <c r="AM42" t="s">
        <v>43</v>
      </c>
    </row>
    <row r="43" spans="1:39" x14ac:dyDescent="0.35">
      <c r="A43">
        <v>70</v>
      </c>
      <c r="B43">
        <v>150</v>
      </c>
      <c r="C43">
        <v>33</v>
      </c>
      <c r="D43">
        <v>40</v>
      </c>
      <c r="E43">
        <v>40</v>
      </c>
      <c r="F43">
        <v>0</v>
      </c>
      <c r="G43" t="s">
        <v>44</v>
      </c>
      <c r="H43">
        <v>1.77350830007344</v>
      </c>
      <c r="I43" t="s">
        <v>45</v>
      </c>
      <c r="J43">
        <v>0</v>
      </c>
      <c r="K43">
        <v>40</v>
      </c>
      <c r="L43">
        <v>40</v>
      </c>
      <c r="M43">
        <v>75</v>
      </c>
      <c r="N43">
        <v>132.77445200004101</v>
      </c>
      <c r="T43">
        <v>132.76752850005801</v>
      </c>
      <c r="U43">
        <v>132.77445200004101</v>
      </c>
      <c r="V43">
        <v>133.75830220000299</v>
      </c>
      <c r="W43">
        <v>133.75830220000299</v>
      </c>
      <c r="X43">
        <v>133.77539520000499</v>
      </c>
      <c r="Y43">
        <v>135.54240870010099</v>
      </c>
      <c r="Z43" t="s">
        <v>44</v>
      </c>
      <c r="AA43">
        <v>1.77350830007344</v>
      </c>
      <c r="AB43" t="s">
        <v>45</v>
      </c>
      <c r="AF43" t="s">
        <v>39</v>
      </c>
      <c r="AG43">
        <v>1</v>
      </c>
      <c r="AH43" t="s">
        <v>40</v>
      </c>
      <c r="AI43" t="s">
        <v>41</v>
      </c>
      <c r="AK43" t="s">
        <v>42</v>
      </c>
      <c r="AL43">
        <v>59.989765737873697</v>
      </c>
      <c r="AM43" t="s">
        <v>43</v>
      </c>
    </row>
    <row r="44" spans="1:39" x14ac:dyDescent="0.35">
      <c r="A44">
        <v>36</v>
      </c>
      <c r="B44">
        <v>72</v>
      </c>
      <c r="C44">
        <v>16</v>
      </c>
      <c r="D44">
        <v>41</v>
      </c>
      <c r="E44">
        <v>41</v>
      </c>
      <c r="F44">
        <v>0</v>
      </c>
      <c r="G44" t="s">
        <v>46</v>
      </c>
      <c r="H44">
        <v>1.2284964999416801</v>
      </c>
      <c r="I44" t="s">
        <v>45</v>
      </c>
      <c r="J44">
        <v>0</v>
      </c>
      <c r="K44">
        <v>41</v>
      </c>
      <c r="L44">
        <v>41</v>
      </c>
      <c r="M44">
        <v>58</v>
      </c>
      <c r="N44">
        <v>135.558281000005</v>
      </c>
      <c r="T44">
        <v>135.550727499998</v>
      </c>
      <c r="U44">
        <v>135.558281000005</v>
      </c>
      <c r="V44">
        <v>136.54187610000301</v>
      </c>
      <c r="W44">
        <v>136.54187610000301</v>
      </c>
      <c r="X44">
        <v>136.55864210007701</v>
      </c>
      <c r="Y44">
        <v>137.77532130002501</v>
      </c>
      <c r="Z44" t="s">
        <v>46</v>
      </c>
      <c r="AA44">
        <v>1.2284964999416801</v>
      </c>
      <c r="AB44" t="s">
        <v>45</v>
      </c>
      <c r="AF44" t="s">
        <v>39</v>
      </c>
      <c r="AG44">
        <v>1</v>
      </c>
      <c r="AH44" t="s">
        <v>40</v>
      </c>
      <c r="AI44" t="s">
        <v>41</v>
      </c>
      <c r="AK44" t="s">
        <v>42</v>
      </c>
      <c r="AL44">
        <v>59.989765737873697</v>
      </c>
      <c r="AM44" t="s">
        <v>43</v>
      </c>
    </row>
    <row r="45" spans="1:39" x14ac:dyDescent="0.35">
      <c r="A45">
        <v>106</v>
      </c>
      <c r="B45">
        <v>240</v>
      </c>
      <c r="C45">
        <v>51</v>
      </c>
      <c r="D45">
        <v>42</v>
      </c>
      <c r="E45">
        <v>42</v>
      </c>
      <c r="F45">
        <v>0</v>
      </c>
      <c r="G45" t="s">
        <v>44</v>
      </c>
      <c r="H45">
        <v>1.0332430000416899</v>
      </c>
      <c r="I45" t="s">
        <v>45</v>
      </c>
      <c r="J45">
        <v>0</v>
      </c>
      <c r="K45">
        <v>42</v>
      </c>
      <c r="L45">
        <v>42</v>
      </c>
      <c r="M45">
        <v>93</v>
      </c>
      <c r="N45">
        <v>137.791171699995</v>
      </c>
      <c r="T45">
        <v>137.78156750008901</v>
      </c>
      <c r="U45">
        <v>137.791171699995</v>
      </c>
      <c r="V45">
        <v>138.77477170003101</v>
      </c>
      <c r="W45">
        <v>138.77477170003101</v>
      </c>
      <c r="X45">
        <v>138.791861500008</v>
      </c>
      <c r="Y45">
        <v>139.809132600086</v>
      </c>
      <c r="Z45" t="s">
        <v>44</v>
      </c>
      <c r="AA45">
        <v>1.0332430000416899</v>
      </c>
      <c r="AB45" t="s">
        <v>45</v>
      </c>
      <c r="AF45" t="s">
        <v>39</v>
      </c>
      <c r="AG45">
        <v>1</v>
      </c>
      <c r="AH45" t="s">
        <v>40</v>
      </c>
      <c r="AI45" t="s">
        <v>41</v>
      </c>
      <c r="AK45" t="s">
        <v>42</v>
      </c>
      <c r="AL45">
        <v>59.989765737873697</v>
      </c>
      <c r="AM45" t="s">
        <v>43</v>
      </c>
    </row>
    <row r="46" spans="1:39" x14ac:dyDescent="0.35">
      <c r="A46">
        <v>47</v>
      </c>
      <c r="B46">
        <v>74</v>
      </c>
      <c r="C46">
        <v>60</v>
      </c>
      <c r="D46">
        <v>43</v>
      </c>
      <c r="E46">
        <v>43</v>
      </c>
      <c r="F46">
        <v>0</v>
      </c>
      <c r="G46" t="s">
        <v>46</v>
      </c>
      <c r="H46">
        <v>1.2100989000173199</v>
      </c>
      <c r="I46" t="s">
        <v>45</v>
      </c>
      <c r="J46">
        <v>0</v>
      </c>
      <c r="K46">
        <v>43</v>
      </c>
      <c r="L46">
        <v>43</v>
      </c>
      <c r="M46">
        <v>19</v>
      </c>
      <c r="N46">
        <v>139.824880600092</v>
      </c>
      <c r="T46">
        <v>139.81604500010101</v>
      </c>
      <c r="U46">
        <v>139.824880600092</v>
      </c>
      <c r="V46">
        <v>140.82496890006499</v>
      </c>
      <c r="W46">
        <v>140.82496890006499</v>
      </c>
      <c r="X46">
        <v>140.82496890006499</v>
      </c>
      <c r="Y46">
        <v>142.04219440009899</v>
      </c>
      <c r="Z46" t="s">
        <v>46</v>
      </c>
      <c r="AA46">
        <v>1.2100989000173199</v>
      </c>
      <c r="AB46" t="s">
        <v>45</v>
      </c>
      <c r="AF46" t="s">
        <v>39</v>
      </c>
      <c r="AG46">
        <v>1</v>
      </c>
      <c r="AH46" t="s">
        <v>40</v>
      </c>
      <c r="AI46" t="s">
        <v>41</v>
      </c>
      <c r="AK46" t="s">
        <v>42</v>
      </c>
      <c r="AL46">
        <v>59.989765737873697</v>
      </c>
      <c r="AM46" t="s">
        <v>43</v>
      </c>
    </row>
    <row r="47" spans="1:39" x14ac:dyDescent="0.35">
      <c r="A47">
        <v>76</v>
      </c>
      <c r="B47">
        <v>165</v>
      </c>
      <c r="C47">
        <v>36</v>
      </c>
      <c r="D47">
        <v>44</v>
      </c>
      <c r="E47">
        <v>44</v>
      </c>
      <c r="F47">
        <v>0</v>
      </c>
      <c r="G47" t="s">
        <v>44</v>
      </c>
      <c r="H47">
        <v>1.7315600999863801</v>
      </c>
      <c r="I47" t="s">
        <v>45</v>
      </c>
      <c r="J47">
        <v>0</v>
      </c>
      <c r="K47">
        <v>44</v>
      </c>
      <c r="L47">
        <v>44</v>
      </c>
      <c r="M47">
        <v>78</v>
      </c>
      <c r="N47">
        <v>142.05781200004199</v>
      </c>
      <c r="T47">
        <v>142.05037460010499</v>
      </c>
      <c r="U47">
        <v>142.05781200004199</v>
      </c>
      <c r="V47">
        <v>143.058304300066</v>
      </c>
      <c r="W47">
        <v>143.058304300066</v>
      </c>
      <c r="X47">
        <v>143.058304300066</v>
      </c>
      <c r="Y47">
        <v>144.79206640005501</v>
      </c>
      <c r="Z47" t="s">
        <v>44</v>
      </c>
      <c r="AA47">
        <v>1.7315600999863801</v>
      </c>
      <c r="AB47" t="s">
        <v>45</v>
      </c>
      <c r="AF47" t="s">
        <v>39</v>
      </c>
      <c r="AG47">
        <v>1</v>
      </c>
      <c r="AH47" t="s">
        <v>40</v>
      </c>
      <c r="AI47" t="s">
        <v>41</v>
      </c>
      <c r="AK47" t="s">
        <v>42</v>
      </c>
      <c r="AL47">
        <v>59.989765737873697</v>
      </c>
      <c r="AM47" t="s">
        <v>43</v>
      </c>
    </row>
    <row r="48" spans="1:39" x14ac:dyDescent="0.35">
      <c r="A48">
        <v>62</v>
      </c>
      <c r="B48">
        <v>130</v>
      </c>
      <c r="C48">
        <v>29</v>
      </c>
      <c r="D48">
        <v>45</v>
      </c>
      <c r="E48">
        <v>45</v>
      </c>
      <c r="F48">
        <v>0</v>
      </c>
      <c r="G48" t="s">
        <v>46</v>
      </c>
      <c r="H48">
        <v>1.36375020002014</v>
      </c>
      <c r="I48" t="s">
        <v>45</v>
      </c>
      <c r="J48">
        <v>0</v>
      </c>
      <c r="K48">
        <v>45</v>
      </c>
      <c r="L48">
        <v>45</v>
      </c>
      <c r="M48">
        <v>71</v>
      </c>
      <c r="N48">
        <v>144.80812190007401</v>
      </c>
      <c r="T48">
        <v>144.79891610005799</v>
      </c>
      <c r="U48">
        <v>144.80812190007401</v>
      </c>
      <c r="V48">
        <v>145.791597100091</v>
      </c>
      <c r="W48">
        <v>145.791597100091</v>
      </c>
      <c r="X48">
        <v>145.80832210008501</v>
      </c>
      <c r="Y48">
        <v>147.15846800000801</v>
      </c>
      <c r="Z48" t="s">
        <v>46</v>
      </c>
      <c r="AA48">
        <v>1.36375020002014</v>
      </c>
      <c r="AB48" t="s">
        <v>45</v>
      </c>
      <c r="AF48" t="s">
        <v>39</v>
      </c>
      <c r="AG48">
        <v>1</v>
      </c>
      <c r="AH48" t="s">
        <v>40</v>
      </c>
      <c r="AI48" t="s">
        <v>41</v>
      </c>
      <c r="AK48" t="s">
        <v>42</v>
      </c>
      <c r="AL48">
        <v>59.989765737873697</v>
      </c>
      <c r="AM48" t="s">
        <v>43</v>
      </c>
    </row>
    <row r="49" spans="1:39" x14ac:dyDescent="0.35">
      <c r="A49">
        <v>20</v>
      </c>
      <c r="B49">
        <v>40</v>
      </c>
      <c r="C49">
        <v>8</v>
      </c>
      <c r="D49">
        <v>46</v>
      </c>
      <c r="E49">
        <v>46</v>
      </c>
      <c r="F49">
        <v>0</v>
      </c>
      <c r="G49" t="s">
        <v>44</v>
      </c>
      <c r="H49">
        <v>1.49025589996017</v>
      </c>
      <c r="I49" t="s">
        <v>45</v>
      </c>
      <c r="J49">
        <v>0</v>
      </c>
      <c r="K49">
        <v>46</v>
      </c>
      <c r="L49">
        <v>46</v>
      </c>
      <c r="M49">
        <v>50</v>
      </c>
      <c r="N49">
        <v>147.17455260001501</v>
      </c>
      <c r="T49">
        <v>147.16450610000101</v>
      </c>
      <c r="U49">
        <v>147.17455260001501</v>
      </c>
      <c r="V49">
        <v>148.15781290002599</v>
      </c>
      <c r="W49">
        <v>148.15781290002599</v>
      </c>
      <c r="X49">
        <v>148.174820300075</v>
      </c>
      <c r="Y49">
        <v>149.65917290002099</v>
      </c>
      <c r="Z49" t="s">
        <v>44</v>
      </c>
      <c r="AA49">
        <v>1.49025589996017</v>
      </c>
      <c r="AB49" t="s">
        <v>45</v>
      </c>
      <c r="AF49" t="s">
        <v>39</v>
      </c>
      <c r="AG49">
        <v>1</v>
      </c>
      <c r="AH49" t="s">
        <v>40</v>
      </c>
      <c r="AI49" t="s">
        <v>41</v>
      </c>
      <c r="AK49" t="s">
        <v>42</v>
      </c>
      <c r="AL49">
        <v>59.989765737873697</v>
      </c>
      <c r="AM49" t="s">
        <v>43</v>
      </c>
    </row>
    <row r="50" spans="1:39" x14ac:dyDescent="0.35">
      <c r="A50">
        <v>37</v>
      </c>
      <c r="B50">
        <v>65</v>
      </c>
      <c r="C50">
        <v>40</v>
      </c>
      <c r="D50">
        <v>47</v>
      </c>
      <c r="E50">
        <v>47</v>
      </c>
      <c r="F50">
        <v>0</v>
      </c>
      <c r="G50" t="s">
        <v>46</v>
      </c>
      <c r="H50">
        <v>1.46813759999349</v>
      </c>
      <c r="I50" t="s">
        <v>45</v>
      </c>
      <c r="J50">
        <v>0</v>
      </c>
      <c r="K50">
        <v>47</v>
      </c>
      <c r="L50">
        <v>47</v>
      </c>
      <c r="M50">
        <v>15</v>
      </c>
      <c r="N50">
        <v>149.67478010000099</v>
      </c>
      <c r="T50">
        <v>149.66599190002299</v>
      </c>
      <c r="U50">
        <v>149.67478010000099</v>
      </c>
      <c r="V50">
        <v>150.65834490000199</v>
      </c>
      <c r="W50">
        <v>150.65834490000199</v>
      </c>
      <c r="X50">
        <v>150.67489190003801</v>
      </c>
      <c r="Y50">
        <v>152.14295960008101</v>
      </c>
      <c r="Z50" t="s">
        <v>46</v>
      </c>
      <c r="AA50">
        <v>1.46813759999349</v>
      </c>
      <c r="AB50" t="s">
        <v>45</v>
      </c>
      <c r="AF50" t="s">
        <v>39</v>
      </c>
      <c r="AG50">
        <v>1</v>
      </c>
      <c r="AH50" t="s">
        <v>40</v>
      </c>
      <c r="AI50" t="s">
        <v>41</v>
      </c>
      <c r="AK50" t="s">
        <v>42</v>
      </c>
      <c r="AL50">
        <v>59.989765737873697</v>
      </c>
      <c r="AM50" t="s">
        <v>43</v>
      </c>
    </row>
    <row r="51" spans="1:39" x14ac:dyDescent="0.35">
      <c r="A51">
        <v>35</v>
      </c>
      <c r="B51">
        <v>60</v>
      </c>
      <c r="C51">
        <v>35</v>
      </c>
      <c r="D51">
        <v>48</v>
      </c>
      <c r="E51">
        <v>48</v>
      </c>
      <c r="F51">
        <v>0</v>
      </c>
      <c r="G51" t="s">
        <v>44</v>
      </c>
      <c r="H51">
        <v>1.7215584999648801</v>
      </c>
      <c r="I51" t="s">
        <v>45</v>
      </c>
      <c r="J51">
        <v>0</v>
      </c>
      <c r="K51">
        <v>48</v>
      </c>
      <c r="L51">
        <v>48</v>
      </c>
      <c r="M51">
        <v>14</v>
      </c>
      <c r="N51">
        <v>152.158165400032</v>
      </c>
      <c r="T51">
        <v>152.15095700009201</v>
      </c>
      <c r="U51">
        <v>152.158165400032</v>
      </c>
      <c r="V51">
        <v>153.15819620003401</v>
      </c>
      <c r="W51">
        <v>153.15819620003401</v>
      </c>
      <c r="X51">
        <v>153.15819620003401</v>
      </c>
      <c r="Y51">
        <v>154.89141350006599</v>
      </c>
      <c r="Z51" t="s">
        <v>44</v>
      </c>
      <c r="AA51">
        <v>1.7215584999648801</v>
      </c>
      <c r="AB51" t="s">
        <v>45</v>
      </c>
      <c r="AF51" t="s">
        <v>39</v>
      </c>
      <c r="AG51">
        <v>1</v>
      </c>
      <c r="AH51" t="s">
        <v>40</v>
      </c>
      <c r="AI51" t="s">
        <v>41</v>
      </c>
      <c r="AK51" t="s">
        <v>42</v>
      </c>
      <c r="AL51">
        <v>59.989765737873697</v>
      </c>
      <c r="AM51" t="s">
        <v>43</v>
      </c>
    </row>
    <row r="52" spans="1:39" x14ac:dyDescent="0.35">
      <c r="A52">
        <v>39</v>
      </c>
      <c r="B52">
        <v>68</v>
      </c>
      <c r="C52">
        <v>45</v>
      </c>
      <c r="D52">
        <v>49</v>
      </c>
      <c r="E52">
        <v>49</v>
      </c>
      <c r="F52">
        <v>0</v>
      </c>
      <c r="G52" t="s">
        <v>46</v>
      </c>
      <c r="H52">
        <v>1.6074203000171099</v>
      </c>
      <c r="I52" t="s">
        <v>45</v>
      </c>
      <c r="J52">
        <v>0</v>
      </c>
      <c r="K52">
        <v>49</v>
      </c>
      <c r="L52">
        <v>49</v>
      </c>
      <c r="M52">
        <v>16</v>
      </c>
      <c r="N52">
        <v>154.90745320008099</v>
      </c>
      <c r="T52">
        <v>154.89799369999599</v>
      </c>
      <c r="U52">
        <v>154.90745320008099</v>
      </c>
      <c r="V52">
        <v>155.89161819999501</v>
      </c>
      <c r="W52">
        <v>155.89161819999501</v>
      </c>
      <c r="X52">
        <v>155.90774070005801</v>
      </c>
      <c r="Y52">
        <v>157.50939100002799</v>
      </c>
      <c r="Z52" t="s">
        <v>46</v>
      </c>
      <c r="AA52">
        <v>1.6074203000171099</v>
      </c>
      <c r="AB52" t="s">
        <v>45</v>
      </c>
      <c r="AF52" t="s">
        <v>39</v>
      </c>
      <c r="AG52">
        <v>1</v>
      </c>
      <c r="AH52" t="s">
        <v>40</v>
      </c>
      <c r="AI52" t="s">
        <v>41</v>
      </c>
      <c r="AK52" t="s">
        <v>42</v>
      </c>
      <c r="AL52">
        <v>59.989765737873697</v>
      </c>
      <c r="AM52" t="s">
        <v>43</v>
      </c>
    </row>
    <row r="53" spans="1:39" x14ac:dyDescent="0.35">
      <c r="A53">
        <v>27</v>
      </c>
      <c r="B53">
        <v>50</v>
      </c>
      <c r="C53">
        <v>21</v>
      </c>
      <c r="D53">
        <v>50</v>
      </c>
      <c r="E53">
        <v>50</v>
      </c>
      <c r="F53">
        <v>0</v>
      </c>
      <c r="G53" t="s">
        <v>44</v>
      </c>
      <c r="H53">
        <v>1.72526760003529</v>
      </c>
      <c r="I53" t="s">
        <v>45</v>
      </c>
      <c r="J53">
        <v>0</v>
      </c>
      <c r="K53">
        <v>50</v>
      </c>
      <c r="L53">
        <v>50</v>
      </c>
      <c r="M53">
        <v>2</v>
      </c>
      <c r="N53">
        <v>157.52420420001701</v>
      </c>
      <c r="T53">
        <v>157.51716980000401</v>
      </c>
      <c r="U53">
        <v>157.52420420001701</v>
      </c>
      <c r="V53">
        <v>158.525066700065</v>
      </c>
      <c r="W53">
        <v>158.525066700065</v>
      </c>
      <c r="X53">
        <v>158.525066700065</v>
      </c>
      <c r="Y53">
        <v>160.25865400000399</v>
      </c>
      <c r="Z53" t="s">
        <v>44</v>
      </c>
      <c r="AA53">
        <v>1.72526760003529</v>
      </c>
      <c r="AB53" t="s">
        <v>45</v>
      </c>
      <c r="AF53" t="s">
        <v>39</v>
      </c>
      <c r="AG53">
        <v>1</v>
      </c>
      <c r="AH53" t="s">
        <v>40</v>
      </c>
      <c r="AI53" t="s">
        <v>41</v>
      </c>
      <c r="AK53" t="s">
        <v>42</v>
      </c>
      <c r="AL53">
        <v>59.989765737873697</v>
      </c>
      <c r="AM53" t="s">
        <v>43</v>
      </c>
    </row>
    <row r="54" spans="1:39" x14ac:dyDescent="0.35">
      <c r="A54">
        <v>58</v>
      </c>
      <c r="B54">
        <v>120</v>
      </c>
      <c r="C54">
        <v>27</v>
      </c>
      <c r="D54">
        <v>51</v>
      </c>
      <c r="E54">
        <v>51</v>
      </c>
      <c r="F54">
        <v>0</v>
      </c>
      <c r="G54" t="s">
        <v>44</v>
      </c>
      <c r="H54">
        <v>1.56428690010216</v>
      </c>
      <c r="I54" t="s">
        <v>45</v>
      </c>
      <c r="J54">
        <v>0</v>
      </c>
      <c r="K54">
        <v>51</v>
      </c>
      <c r="L54">
        <v>51</v>
      </c>
      <c r="M54">
        <v>69</v>
      </c>
      <c r="N54">
        <v>160.27442530007099</v>
      </c>
      <c r="T54">
        <v>160.266276500071</v>
      </c>
      <c r="U54">
        <v>160.27442530007099</v>
      </c>
      <c r="V54">
        <v>161.274203700013</v>
      </c>
      <c r="W54">
        <v>161.274203700013</v>
      </c>
      <c r="X54">
        <v>161.274203700013</v>
      </c>
      <c r="Y54">
        <v>162.841668100096</v>
      </c>
      <c r="Z54" t="s">
        <v>44</v>
      </c>
      <c r="AA54">
        <v>1.56428690010216</v>
      </c>
      <c r="AB54" t="s">
        <v>45</v>
      </c>
      <c r="AF54" t="s">
        <v>39</v>
      </c>
      <c r="AG54">
        <v>1</v>
      </c>
      <c r="AH54" t="s">
        <v>40</v>
      </c>
      <c r="AI54" t="s">
        <v>41</v>
      </c>
      <c r="AK54" t="s">
        <v>42</v>
      </c>
      <c r="AL54">
        <v>59.989765737873697</v>
      </c>
      <c r="AM54" t="s">
        <v>43</v>
      </c>
    </row>
    <row r="55" spans="1:39" x14ac:dyDescent="0.35">
      <c r="A55">
        <v>78</v>
      </c>
      <c r="B55">
        <v>80</v>
      </c>
      <c r="C55">
        <v>162</v>
      </c>
      <c r="D55">
        <v>52</v>
      </c>
      <c r="E55">
        <v>52</v>
      </c>
      <c r="F55">
        <v>0</v>
      </c>
      <c r="G55" t="s">
        <v>46</v>
      </c>
      <c r="H55">
        <v>1.85258649999741</v>
      </c>
      <c r="I55" t="s">
        <v>45</v>
      </c>
      <c r="J55">
        <v>0</v>
      </c>
      <c r="K55">
        <v>52</v>
      </c>
      <c r="L55">
        <v>52</v>
      </c>
      <c r="M55">
        <v>6</v>
      </c>
      <c r="N55">
        <v>162.85756110004101</v>
      </c>
      <c r="T55">
        <v>162.848271700087</v>
      </c>
      <c r="U55">
        <v>162.85756110004101</v>
      </c>
      <c r="V55">
        <v>163.84078480000599</v>
      </c>
      <c r="W55">
        <v>163.84078480000599</v>
      </c>
      <c r="X55">
        <v>163.858178700087</v>
      </c>
      <c r="Y55">
        <v>165.709073500009</v>
      </c>
      <c r="Z55" t="s">
        <v>46</v>
      </c>
      <c r="AA55">
        <v>1.85258649999741</v>
      </c>
      <c r="AB55" t="s">
        <v>45</v>
      </c>
      <c r="AF55" t="s">
        <v>39</v>
      </c>
      <c r="AG55">
        <v>1</v>
      </c>
      <c r="AH55" t="s">
        <v>40</v>
      </c>
      <c r="AI55" t="s">
        <v>41</v>
      </c>
      <c r="AK55" t="s">
        <v>42</v>
      </c>
      <c r="AL55">
        <v>59.989765737873697</v>
      </c>
      <c r="AM55" t="s">
        <v>43</v>
      </c>
    </row>
    <row r="56" spans="1:39" x14ac:dyDescent="0.35">
      <c r="A56">
        <v>88</v>
      </c>
      <c r="B56">
        <v>130</v>
      </c>
      <c r="C56">
        <v>155</v>
      </c>
      <c r="D56">
        <v>53</v>
      </c>
      <c r="E56">
        <v>53</v>
      </c>
      <c r="F56">
        <v>0</v>
      </c>
      <c r="G56" t="s">
        <v>46</v>
      </c>
      <c r="H56">
        <v>2.1884206000249802</v>
      </c>
      <c r="I56" t="s">
        <v>45</v>
      </c>
      <c r="J56">
        <v>0</v>
      </c>
      <c r="K56">
        <v>53</v>
      </c>
      <c r="L56">
        <v>53</v>
      </c>
      <c r="M56">
        <v>38</v>
      </c>
      <c r="N56">
        <v>165.72439710004201</v>
      </c>
      <c r="T56">
        <v>165.71775690000501</v>
      </c>
      <c r="U56">
        <v>165.72439710004201</v>
      </c>
      <c r="V56">
        <v>166.72445630002699</v>
      </c>
      <c r="W56">
        <v>166.72445630002699</v>
      </c>
      <c r="X56">
        <v>166.72445630002699</v>
      </c>
      <c r="Y56">
        <v>168.926002499996</v>
      </c>
      <c r="Z56" t="s">
        <v>46</v>
      </c>
      <c r="AA56">
        <v>2.1884206000249802</v>
      </c>
      <c r="AB56" t="s">
        <v>45</v>
      </c>
      <c r="AF56" t="s">
        <v>39</v>
      </c>
      <c r="AG56">
        <v>1</v>
      </c>
      <c r="AH56" t="s">
        <v>40</v>
      </c>
      <c r="AI56" t="s">
        <v>41</v>
      </c>
      <c r="AK56" t="s">
        <v>42</v>
      </c>
      <c r="AL56">
        <v>59.989765737873697</v>
      </c>
      <c r="AM56" t="s">
        <v>43</v>
      </c>
    </row>
    <row r="57" spans="1:39" x14ac:dyDescent="0.35">
      <c r="A57">
        <v>86</v>
      </c>
      <c r="B57">
        <v>125</v>
      </c>
      <c r="C57">
        <v>150</v>
      </c>
      <c r="D57">
        <v>54</v>
      </c>
      <c r="E57">
        <v>54</v>
      </c>
      <c r="F57">
        <v>0</v>
      </c>
      <c r="G57" t="s">
        <v>46</v>
      </c>
      <c r="H57">
        <v>1.44270239991601</v>
      </c>
      <c r="I57" t="s">
        <v>45</v>
      </c>
      <c r="J57">
        <v>0</v>
      </c>
      <c r="K57">
        <v>54</v>
      </c>
      <c r="L57">
        <v>54</v>
      </c>
      <c r="M57">
        <v>37</v>
      </c>
      <c r="N57">
        <v>168.94098120008101</v>
      </c>
      <c r="T57">
        <v>168.933000100078</v>
      </c>
      <c r="U57">
        <v>168.94098120008101</v>
      </c>
      <c r="V57">
        <v>169.94144130009201</v>
      </c>
      <c r="W57">
        <v>169.94144130009201</v>
      </c>
      <c r="X57">
        <v>169.94144130009201</v>
      </c>
      <c r="Y57">
        <v>171.3918307001</v>
      </c>
      <c r="Z57" t="s">
        <v>46</v>
      </c>
      <c r="AA57">
        <v>1.44270239991601</v>
      </c>
      <c r="AB57" t="s">
        <v>45</v>
      </c>
      <c r="AF57" t="s">
        <v>39</v>
      </c>
      <c r="AG57">
        <v>1</v>
      </c>
      <c r="AH57" t="s">
        <v>40</v>
      </c>
      <c r="AI57" t="s">
        <v>41</v>
      </c>
      <c r="AK57" t="s">
        <v>42</v>
      </c>
      <c r="AL57">
        <v>59.989765737873697</v>
      </c>
      <c r="AM57" t="s">
        <v>43</v>
      </c>
    </row>
    <row r="58" spans="1:39" x14ac:dyDescent="0.35">
      <c r="A58">
        <v>66</v>
      </c>
      <c r="B58">
        <v>140</v>
      </c>
      <c r="C58">
        <v>31</v>
      </c>
      <c r="D58">
        <v>55</v>
      </c>
      <c r="E58">
        <v>55</v>
      </c>
      <c r="F58">
        <v>0</v>
      </c>
      <c r="G58" t="s">
        <v>44</v>
      </c>
      <c r="H58">
        <v>1.57678070000838</v>
      </c>
      <c r="I58" t="s">
        <v>45</v>
      </c>
      <c r="J58">
        <v>0</v>
      </c>
      <c r="K58">
        <v>55</v>
      </c>
      <c r="L58">
        <v>55</v>
      </c>
      <c r="M58">
        <v>73</v>
      </c>
      <c r="N58">
        <v>171.407425700104</v>
      </c>
      <c r="T58">
        <v>171.399460400105</v>
      </c>
      <c r="U58">
        <v>171.407425700104</v>
      </c>
      <c r="V58">
        <v>172.40705280005901</v>
      </c>
      <c r="W58">
        <v>172.40705280005901</v>
      </c>
      <c r="X58">
        <v>172.40705280005901</v>
      </c>
      <c r="Y58">
        <v>173.99187990010199</v>
      </c>
      <c r="Z58" t="s">
        <v>44</v>
      </c>
      <c r="AA58">
        <v>1.57678070000838</v>
      </c>
      <c r="AB58" t="s">
        <v>45</v>
      </c>
      <c r="AF58" t="s">
        <v>39</v>
      </c>
      <c r="AG58">
        <v>1</v>
      </c>
      <c r="AH58" t="s">
        <v>40</v>
      </c>
      <c r="AI58" t="s">
        <v>41</v>
      </c>
      <c r="AK58" t="s">
        <v>42</v>
      </c>
      <c r="AL58">
        <v>59.989765737873697</v>
      </c>
      <c r="AM58" t="s">
        <v>43</v>
      </c>
    </row>
    <row r="59" spans="1:39" x14ac:dyDescent="0.35">
      <c r="A59">
        <v>68</v>
      </c>
      <c r="B59">
        <v>92</v>
      </c>
      <c r="C59">
        <v>105</v>
      </c>
      <c r="D59">
        <v>56</v>
      </c>
      <c r="E59">
        <v>56</v>
      </c>
      <c r="F59">
        <v>0</v>
      </c>
      <c r="G59" t="s">
        <v>46</v>
      </c>
      <c r="H59">
        <v>1.45974999992176</v>
      </c>
      <c r="I59" t="s">
        <v>45</v>
      </c>
      <c r="J59">
        <v>0</v>
      </c>
      <c r="K59">
        <v>56</v>
      </c>
      <c r="L59">
        <v>56</v>
      </c>
      <c r="M59">
        <v>28</v>
      </c>
      <c r="N59">
        <v>174.007214500103</v>
      </c>
      <c r="T59">
        <v>173.99881060002301</v>
      </c>
      <c r="U59">
        <v>174.007214500103</v>
      </c>
      <c r="V59">
        <v>175.00707230006799</v>
      </c>
      <c r="W59">
        <v>175.00707230006799</v>
      </c>
      <c r="X59">
        <v>175.00707230006799</v>
      </c>
      <c r="Y59">
        <v>176.47436560003499</v>
      </c>
      <c r="Z59" t="s">
        <v>46</v>
      </c>
      <c r="AA59">
        <v>1.45974999992176</v>
      </c>
      <c r="AB59" t="s">
        <v>45</v>
      </c>
      <c r="AF59" t="s">
        <v>39</v>
      </c>
      <c r="AG59">
        <v>1</v>
      </c>
      <c r="AH59" t="s">
        <v>40</v>
      </c>
      <c r="AI59" t="s">
        <v>41</v>
      </c>
      <c r="AK59" t="s">
        <v>42</v>
      </c>
      <c r="AL59">
        <v>59.989765737873697</v>
      </c>
      <c r="AM59" t="s">
        <v>43</v>
      </c>
    </row>
    <row r="60" spans="1:39" x14ac:dyDescent="0.35">
      <c r="A60">
        <v>112</v>
      </c>
      <c r="B60">
        <v>255</v>
      </c>
      <c r="C60">
        <v>54</v>
      </c>
      <c r="D60">
        <v>57</v>
      </c>
      <c r="E60">
        <v>57</v>
      </c>
      <c r="F60">
        <v>0</v>
      </c>
      <c r="G60" t="s">
        <v>44</v>
      </c>
      <c r="H60">
        <v>2.03413669997826</v>
      </c>
      <c r="I60" t="s">
        <v>45</v>
      </c>
      <c r="J60">
        <v>0</v>
      </c>
      <c r="K60">
        <v>57</v>
      </c>
      <c r="L60">
        <v>57</v>
      </c>
      <c r="M60">
        <v>96</v>
      </c>
      <c r="N60">
        <v>176.49024180008499</v>
      </c>
      <c r="T60">
        <v>176.48244430008299</v>
      </c>
      <c r="U60">
        <v>176.49024180008499</v>
      </c>
      <c r="V60">
        <v>177.47425820003201</v>
      </c>
      <c r="W60">
        <v>177.47425820003201</v>
      </c>
      <c r="X60">
        <v>177.491021500085</v>
      </c>
      <c r="Y60">
        <v>179.51021370000601</v>
      </c>
      <c r="Z60" t="s">
        <v>44</v>
      </c>
      <c r="AA60">
        <v>2.03413669997826</v>
      </c>
      <c r="AB60" t="s">
        <v>45</v>
      </c>
      <c r="AF60" t="s">
        <v>39</v>
      </c>
      <c r="AG60">
        <v>1</v>
      </c>
      <c r="AH60" t="s">
        <v>40</v>
      </c>
      <c r="AI60" t="s">
        <v>41</v>
      </c>
      <c r="AK60" t="s">
        <v>42</v>
      </c>
      <c r="AL60">
        <v>59.989765737873697</v>
      </c>
      <c r="AM60" t="s">
        <v>43</v>
      </c>
    </row>
    <row r="61" spans="1:39" x14ac:dyDescent="0.35">
      <c r="A61">
        <v>92</v>
      </c>
      <c r="B61">
        <v>205</v>
      </c>
      <c r="C61">
        <v>44</v>
      </c>
      <c r="D61">
        <v>58</v>
      </c>
      <c r="E61">
        <v>58</v>
      </c>
      <c r="F61">
        <v>0</v>
      </c>
      <c r="G61" t="s">
        <v>44</v>
      </c>
      <c r="H61">
        <v>1.66266979998908</v>
      </c>
      <c r="I61" t="s">
        <v>45</v>
      </c>
      <c r="J61">
        <v>0</v>
      </c>
      <c r="K61">
        <v>58</v>
      </c>
      <c r="L61">
        <v>58</v>
      </c>
      <c r="M61">
        <v>86</v>
      </c>
      <c r="N61">
        <v>179.52386690001001</v>
      </c>
      <c r="T61">
        <v>179.517131100059</v>
      </c>
      <c r="U61">
        <v>179.52386690001001</v>
      </c>
      <c r="V61">
        <v>180.52421880001199</v>
      </c>
      <c r="W61">
        <v>180.52421880001199</v>
      </c>
      <c r="X61">
        <v>180.52421880001199</v>
      </c>
      <c r="Y61">
        <v>182.191278600017</v>
      </c>
      <c r="Z61" t="s">
        <v>44</v>
      </c>
      <c r="AA61">
        <v>1.66266979998908</v>
      </c>
      <c r="AB61" t="s">
        <v>45</v>
      </c>
      <c r="AF61" t="s">
        <v>39</v>
      </c>
      <c r="AG61">
        <v>1</v>
      </c>
      <c r="AH61" t="s">
        <v>40</v>
      </c>
      <c r="AI61" t="s">
        <v>41</v>
      </c>
      <c r="AK61" t="s">
        <v>42</v>
      </c>
      <c r="AL61">
        <v>59.989765737873697</v>
      </c>
      <c r="AM61" t="s">
        <v>43</v>
      </c>
    </row>
    <row r="62" spans="1:39" x14ac:dyDescent="0.35">
      <c r="A62">
        <v>10</v>
      </c>
      <c r="B62">
        <v>20</v>
      </c>
      <c r="C62">
        <v>3</v>
      </c>
      <c r="D62">
        <v>59</v>
      </c>
      <c r="E62">
        <v>59</v>
      </c>
      <c r="F62">
        <v>0</v>
      </c>
      <c r="G62" t="s">
        <v>44</v>
      </c>
      <c r="H62">
        <v>1.6017824999289501</v>
      </c>
      <c r="I62" t="s">
        <v>45</v>
      </c>
      <c r="J62">
        <v>0</v>
      </c>
      <c r="K62">
        <v>59</v>
      </c>
      <c r="L62">
        <v>59</v>
      </c>
      <c r="M62">
        <v>45</v>
      </c>
      <c r="N62">
        <v>182.207435200107</v>
      </c>
      <c r="T62">
        <v>182.19836290006</v>
      </c>
      <c r="U62">
        <v>182.207435200107</v>
      </c>
      <c r="V62">
        <v>183.190127800102</v>
      </c>
      <c r="W62">
        <v>183.190127800102</v>
      </c>
      <c r="X62">
        <v>183.20778200007001</v>
      </c>
      <c r="Y62">
        <v>184.79238520003801</v>
      </c>
      <c r="Z62" t="s">
        <v>44</v>
      </c>
      <c r="AA62">
        <v>1.6017824999289501</v>
      </c>
      <c r="AB62" t="s">
        <v>45</v>
      </c>
      <c r="AF62" t="s">
        <v>39</v>
      </c>
      <c r="AG62">
        <v>1</v>
      </c>
      <c r="AH62" t="s">
        <v>40</v>
      </c>
      <c r="AI62" t="s">
        <v>41</v>
      </c>
      <c r="AK62" t="s">
        <v>42</v>
      </c>
      <c r="AL62">
        <v>59.989765737873697</v>
      </c>
      <c r="AM62" t="s">
        <v>43</v>
      </c>
    </row>
    <row r="63" spans="1:39" x14ac:dyDescent="0.35">
      <c r="A63">
        <v>114</v>
      </c>
      <c r="B63">
        <v>260</v>
      </c>
      <c r="C63">
        <v>55</v>
      </c>
      <c r="D63">
        <v>60</v>
      </c>
      <c r="E63">
        <v>60</v>
      </c>
      <c r="F63">
        <v>0</v>
      </c>
      <c r="G63" t="s">
        <v>44</v>
      </c>
      <c r="H63">
        <v>1.8984176999656399</v>
      </c>
      <c r="I63" t="s">
        <v>45</v>
      </c>
      <c r="J63">
        <v>0</v>
      </c>
      <c r="K63">
        <v>60</v>
      </c>
      <c r="L63">
        <v>60</v>
      </c>
      <c r="M63">
        <v>97</v>
      </c>
      <c r="N63">
        <v>184.80719580000701</v>
      </c>
      <c r="T63">
        <v>184.80061300005701</v>
      </c>
      <c r="U63">
        <v>184.80719580000701</v>
      </c>
      <c r="V63">
        <v>185.80748439999201</v>
      </c>
      <c r="W63">
        <v>185.80748439999201</v>
      </c>
      <c r="X63">
        <v>185.80748439999201</v>
      </c>
      <c r="Y63">
        <v>187.70844860002299</v>
      </c>
      <c r="Z63" t="s">
        <v>44</v>
      </c>
      <c r="AA63">
        <v>1.8984176999656399</v>
      </c>
      <c r="AB63" t="s">
        <v>45</v>
      </c>
      <c r="AF63" t="s">
        <v>39</v>
      </c>
      <c r="AG63">
        <v>1</v>
      </c>
      <c r="AH63" t="s">
        <v>40</v>
      </c>
      <c r="AI63" t="s">
        <v>41</v>
      </c>
      <c r="AK63" t="s">
        <v>42</v>
      </c>
      <c r="AL63">
        <v>59.989765737873697</v>
      </c>
      <c r="AM63" t="s">
        <v>43</v>
      </c>
    </row>
    <row r="64" spans="1:39" x14ac:dyDescent="0.35">
      <c r="A64">
        <v>66</v>
      </c>
      <c r="B64">
        <v>90</v>
      </c>
      <c r="C64">
        <v>100</v>
      </c>
      <c r="D64">
        <v>61</v>
      </c>
      <c r="E64">
        <v>61</v>
      </c>
      <c r="F64">
        <v>0</v>
      </c>
      <c r="G64" t="s">
        <v>46</v>
      </c>
      <c r="H64">
        <v>1.8556258999742501</v>
      </c>
      <c r="I64" t="s">
        <v>45</v>
      </c>
      <c r="J64">
        <v>0</v>
      </c>
      <c r="K64">
        <v>61</v>
      </c>
      <c r="L64">
        <v>61</v>
      </c>
      <c r="M64">
        <v>27</v>
      </c>
      <c r="N64">
        <v>187.72371190006299</v>
      </c>
      <c r="T64">
        <v>187.71690940007099</v>
      </c>
      <c r="U64">
        <v>187.72371190006299</v>
      </c>
      <c r="V64">
        <v>188.72398810007101</v>
      </c>
      <c r="W64">
        <v>188.72398810007101</v>
      </c>
      <c r="X64">
        <v>188.72398810007101</v>
      </c>
      <c r="Y64">
        <v>190.59150850004499</v>
      </c>
      <c r="Z64" t="s">
        <v>46</v>
      </c>
      <c r="AA64">
        <v>1.8556258999742501</v>
      </c>
      <c r="AB64" t="s">
        <v>45</v>
      </c>
      <c r="AF64" t="s">
        <v>39</v>
      </c>
      <c r="AG64">
        <v>1</v>
      </c>
      <c r="AH64" t="s">
        <v>40</v>
      </c>
      <c r="AI64" t="s">
        <v>41</v>
      </c>
      <c r="AK64" t="s">
        <v>42</v>
      </c>
      <c r="AL64">
        <v>59.989765737873697</v>
      </c>
      <c r="AM64" t="s">
        <v>43</v>
      </c>
    </row>
    <row r="65" spans="1:39" x14ac:dyDescent="0.35">
      <c r="A65">
        <v>98</v>
      </c>
      <c r="B65">
        <v>155</v>
      </c>
      <c r="C65">
        <v>180</v>
      </c>
      <c r="D65">
        <v>62</v>
      </c>
      <c r="E65">
        <v>62</v>
      </c>
      <c r="F65">
        <v>0</v>
      </c>
      <c r="G65" t="s">
        <v>46</v>
      </c>
      <c r="H65">
        <v>5.5349832000210801</v>
      </c>
      <c r="I65" t="s">
        <v>45</v>
      </c>
      <c r="J65">
        <v>0</v>
      </c>
      <c r="K65">
        <v>62</v>
      </c>
      <c r="L65">
        <v>62</v>
      </c>
      <c r="M65">
        <v>43</v>
      </c>
      <c r="N65">
        <v>190.60675920010499</v>
      </c>
      <c r="T65">
        <v>190.601573400083</v>
      </c>
      <c r="U65">
        <v>190.60675920010499</v>
      </c>
      <c r="V65">
        <v>191.591559300082</v>
      </c>
      <c r="W65">
        <v>191.591559300082</v>
      </c>
      <c r="X65">
        <v>191.60771580005499</v>
      </c>
      <c r="Y65">
        <v>197.141495100106</v>
      </c>
      <c r="Z65" t="s">
        <v>46</v>
      </c>
      <c r="AA65">
        <v>5.5349832000210801</v>
      </c>
      <c r="AB65" t="s">
        <v>45</v>
      </c>
      <c r="AF65" t="s">
        <v>39</v>
      </c>
      <c r="AG65">
        <v>1</v>
      </c>
      <c r="AH65" t="s">
        <v>40</v>
      </c>
      <c r="AI65" t="s">
        <v>41</v>
      </c>
      <c r="AK65" t="s">
        <v>42</v>
      </c>
      <c r="AL65">
        <v>59.989765737873697</v>
      </c>
      <c r="AM65" t="s">
        <v>43</v>
      </c>
    </row>
    <row r="66" spans="1:39" x14ac:dyDescent="0.35">
      <c r="A66">
        <v>46</v>
      </c>
      <c r="B66">
        <v>92</v>
      </c>
      <c r="C66">
        <v>21</v>
      </c>
      <c r="D66">
        <v>63</v>
      </c>
      <c r="E66">
        <v>63</v>
      </c>
      <c r="F66">
        <v>0</v>
      </c>
      <c r="G66" t="s">
        <v>46</v>
      </c>
      <c r="H66">
        <v>2.86887870007194</v>
      </c>
      <c r="I66" t="s">
        <v>45</v>
      </c>
      <c r="J66">
        <v>0</v>
      </c>
      <c r="K66">
        <v>63</v>
      </c>
      <c r="L66">
        <v>63</v>
      </c>
      <c r="M66">
        <v>63</v>
      </c>
      <c r="N66">
        <v>197.15724309999399</v>
      </c>
      <c r="T66">
        <v>197.14903440000401</v>
      </c>
      <c r="U66">
        <v>197.15724309999399</v>
      </c>
      <c r="V66">
        <v>198.156771600013</v>
      </c>
      <c r="W66">
        <v>198.156771600013</v>
      </c>
      <c r="X66">
        <v>198.156771600013</v>
      </c>
      <c r="Y66">
        <v>201.040799700072</v>
      </c>
      <c r="Z66" t="s">
        <v>46</v>
      </c>
      <c r="AA66">
        <v>2.86887870007194</v>
      </c>
      <c r="AB66" t="s">
        <v>45</v>
      </c>
      <c r="AF66" t="s">
        <v>39</v>
      </c>
      <c r="AG66">
        <v>1</v>
      </c>
      <c r="AH66" t="s">
        <v>40</v>
      </c>
      <c r="AI66" t="s">
        <v>41</v>
      </c>
      <c r="AK66" t="s">
        <v>42</v>
      </c>
      <c r="AL66">
        <v>59.989765737873697</v>
      </c>
      <c r="AM66" t="s">
        <v>43</v>
      </c>
    </row>
    <row r="67" spans="1:39" x14ac:dyDescent="0.35">
      <c r="A67">
        <v>98</v>
      </c>
      <c r="B67">
        <v>220</v>
      </c>
      <c r="C67">
        <v>47</v>
      </c>
      <c r="D67">
        <v>64</v>
      </c>
      <c r="E67">
        <v>64</v>
      </c>
      <c r="F67">
        <v>0</v>
      </c>
      <c r="G67" t="s">
        <v>44</v>
      </c>
      <c r="H67">
        <v>1.0424860999919401</v>
      </c>
      <c r="I67" t="s">
        <v>45</v>
      </c>
      <c r="J67">
        <v>0</v>
      </c>
      <c r="K67">
        <v>64</v>
      </c>
      <c r="L67">
        <v>64</v>
      </c>
      <c r="M67">
        <v>89</v>
      </c>
      <c r="N67">
        <v>201.05673460010399</v>
      </c>
      <c r="T67">
        <v>201.047242400003</v>
      </c>
      <c r="U67">
        <v>201.05673460010399</v>
      </c>
      <c r="V67">
        <v>202.04075820010601</v>
      </c>
      <c r="W67">
        <v>202.04075820010601</v>
      </c>
      <c r="X67">
        <v>202.05707540002101</v>
      </c>
      <c r="Y67">
        <v>203.09150199999499</v>
      </c>
      <c r="Z67" t="s">
        <v>44</v>
      </c>
      <c r="AA67">
        <v>1.0424860999919401</v>
      </c>
      <c r="AB67" t="s">
        <v>45</v>
      </c>
      <c r="AF67" t="s">
        <v>39</v>
      </c>
      <c r="AG67">
        <v>1</v>
      </c>
      <c r="AH67" t="s">
        <v>40</v>
      </c>
      <c r="AI67" t="s">
        <v>41</v>
      </c>
      <c r="AK67" t="s">
        <v>42</v>
      </c>
      <c r="AL67">
        <v>59.989765737873697</v>
      </c>
      <c r="AM67" t="s">
        <v>43</v>
      </c>
    </row>
    <row r="68" spans="1:39" x14ac:dyDescent="0.35">
      <c r="A68">
        <v>52</v>
      </c>
      <c r="B68">
        <v>105</v>
      </c>
      <c r="C68">
        <v>24</v>
      </c>
      <c r="D68">
        <v>65</v>
      </c>
      <c r="E68">
        <v>65</v>
      </c>
      <c r="F68">
        <v>0</v>
      </c>
      <c r="G68" t="s">
        <v>44</v>
      </c>
      <c r="H68">
        <v>1.42414050002116</v>
      </c>
      <c r="I68" t="s">
        <v>45</v>
      </c>
      <c r="J68">
        <v>0</v>
      </c>
      <c r="K68">
        <v>65</v>
      </c>
      <c r="L68">
        <v>65</v>
      </c>
      <c r="M68">
        <v>66</v>
      </c>
      <c r="N68">
        <v>203.10677400010101</v>
      </c>
      <c r="T68">
        <v>203.10147320001801</v>
      </c>
      <c r="U68">
        <v>203.10677400010101</v>
      </c>
      <c r="V68">
        <v>204.106609900016</v>
      </c>
      <c r="W68">
        <v>204.106609900016</v>
      </c>
      <c r="X68">
        <v>204.106609900016</v>
      </c>
      <c r="Y68">
        <v>205.54279670002799</v>
      </c>
      <c r="Z68" t="s">
        <v>44</v>
      </c>
      <c r="AA68">
        <v>1.42414050002116</v>
      </c>
      <c r="AB68" t="s">
        <v>45</v>
      </c>
      <c r="AF68" t="s">
        <v>39</v>
      </c>
      <c r="AG68">
        <v>1</v>
      </c>
      <c r="AH68" t="s">
        <v>40</v>
      </c>
      <c r="AI68" t="s">
        <v>41</v>
      </c>
      <c r="AK68" t="s">
        <v>42</v>
      </c>
      <c r="AL68">
        <v>59.989765737873697</v>
      </c>
      <c r="AM68" t="s">
        <v>43</v>
      </c>
    </row>
    <row r="69" spans="1:39" x14ac:dyDescent="0.35">
      <c r="A69">
        <v>33</v>
      </c>
      <c r="B69">
        <v>55</v>
      </c>
      <c r="C69">
        <v>30</v>
      </c>
      <c r="D69">
        <v>66</v>
      </c>
      <c r="E69">
        <v>66</v>
      </c>
      <c r="F69">
        <v>0</v>
      </c>
      <c r="G69" t="s">
        <v>46</v>
      </c>
      <c r="H69">
        <v>1.6981977999675999</v>
      </c>
      <c r="I69" t="s">
        <v>45</v>
      </c>
      <c r="J69">
        <v>0</v>
      </c>
      <c r="K69">
        <v>66</v>
      </c>
      <c r="L69">
        <v>66</v>
      </c>
      <c r="M69">
        <v>13</v>
      </c>
      <c r="N69">
        <v>205.55696640000599</v>
      </c>
      <c r="T69">
        <v>205.549321600003</v>
      </c>
      <c r="U69">
        <v>205.55696640000599</v>
      </c>
      <c r="V69">
        <v>206.55736620002401</v>
      </c>
      <c r="W69">
        <v>206.55736620002401</v>
      </c>
      <c r="X69">
        <v>206.55736620002401</v>
      </c>
      <c r="Y69">
        <v>208.257984300027</v>
      </c>
      <c r="Z69" t="s">
        <v>46</v>
      </c>
      <c r="AA69">
        <v>1.6981977999675999</v>
      </c>
      <c r="AB69" t="s">
        <v>45</v>
      </c>
      <c r="AF69" t="s">
        <v>39</v>
      </c>
      <c r="AG69">
        <v>1</v>
      </c>
      <c r="AH69" t="s">
        <v>40</v>
      </c>
      <c r="AI69" t="s">
        <v>41</v>
      </c>
      <c r="AK69" t="s">
        <v>42</v>
      </c>
      <c r="AL69">
        <v>59.989765737873697</v>
      </c>
      <c r="AM69" t="s">
        <v>43</v>
      </c>
    </row>
    <row r="70" spans="1:39" x14ac:dyDescent="0.35">
      <c r="A70">
        <v>32</v>
      </c>
      <c r="B70">
        <v>64</v>
      </c>
      <c r="C70">
        <v>14</v>
      </c>
      <c r="D70">
        <v>67</v>
      </c>
      <c r="E70">
        <v>67</v>
      </c>
      <c r="F70">
        <v>0</v>
      </c>
      <c r="G70" t="s">
        <v>46</v>
      </c>
      <c r="H70">
        <v>2.09028759994544</v>
      </c>
      <c r="I70" t="s">
        <v>45</v>
      </c>
      <c r="J70">
        <v>0</v>
      </c>
      <c r="K70">
        <v>67</v>
      </c>
      <c r="L70">
        <v>67</v>
      </c>
      <c r="M70">
        <v>56</v>
      </c>
      <c r="N70">
        <v>208.274035400012</v>
      </c>
      <c r="T70">
        <v>208.265705800033</v>
      </c>
      <c r="U70">
        <v>208.274035400012</v>
      </c>
      <c r="V70">
        <v>209.27319900004599</v>
      </c>
      <c r="W70">
        <v>209.27319900004599</v>
      </c>
      <c r="X70">
        <v>209.27319900004599</v>
      </c>
      <c r="Y70">
        <v>211.37477830005801</v>
      </c>
      <c r="Z70" t="s">
        <v>46</v>
      </c>
      <c r="AA70">
        <v>2.09028759994544</v>
      </c>
      <c r="AB70" t="s">
        <v>45</v>
      </c>
      <c r="AF70" t="s">
        <v>39</v>
      </c>
      <c r="AG70">
        <v>1</v>
      </c>
      <c r="AH70" t="s">
        <v>40</v>
      </c>
      <c r="AI70" t="s">
        <v>41</v>
      </c>
      <c r="AK70" t="s">
        <v>42</v>
      </c>
      <c r="AL70">
        <v>59.989765737873697</v>
      </c>
      <c r="AM70" t="s">
        <v>43</v>
      </c>
    </row>
    <row r="71" spans="1:39" x14ac:dyDescent="0.35">
      <c r="A71">
        <v>60</v>
      </c>
      <c r="B71">
        <v>84</v>
      </c>
      <c r="C71">
        <v>85</v>
      </c>
      <c r="D71">
        <v>68</v>
      </c>
      <c r="E71">
        <v>68</v>
      </c>
      <c r="F71">
        <v>0</v>
      </c>
      <c r="G71" t="s">
        <v>44</v>
      </c>
      <c r="H71">
        <v>2.6505687000462701</v>
      </c>
      <c r="I71" t="s">
        <v>45</v>
      </c>
      <c r="J71">
        <v>0</v>
      </c>
      <c r="K71">
        <v>68</v>
      </c>
      <c r="L71">
        <v>68</v>
      </c>
      <c r="M71">
        <v>24</v>
      </c>
      <c r="N71">
        <v>211.39026640006301</v>
      </c>
      <c r="T71">
        <v>211.38192450010601</v>
      </c>
      <c r="U71">
        <v>211.39026640006301</v>
      </c>
      <c r="V71">
        <v>212.389838800067</v>
      </c>
      <c r="W71">
        <v>212.389838800067</v>
      </c>
      <c r="X71">
        <v>212.389838800067</v>
      </c>
      <c r="Y71">
        <v>215.041814900003</v>
      </c>
      <c r="Z71" t="s">
        <v>44</v>
      </c>
      <c r="AA71">
        <v>2.6505687000462701</v>
      </c>
      <c r="AB71" t="s">
        <v>45</v>
      </c>
      <c r="AF71" t="s">
        <v>39</v>
      </c>
      <c r="AG71">
        <v>1</v>
      </c>
      <c r="AH71" t="s">
        <v>40</v>
      </c>
      <c r="AI71" t="s">
        <v>41</v>
      </c>
      <c r="AK71" t="s">
        <v>42</v>
      </c>
      <c r="AL71">
        <v>59.989765737873697</v>
      </c>
      <c r="AM71" t="s">
        <v>43</v>
      </c>
    </row>
    <row r="72" spans="1:39" x14ac:dyDescent="0.35">
      <c r="A72">
        <v>45</v>
      </c>
      <c r="B72">
        <v>72</v>
      </c>
      <c r="C72">
        <v>55</v>
      </c>
      <c r="D72">
        <v>69</v>
      </c>
      <c r="E72">
        <v>69</v>
      </c>
      <c r="F72">
        <v>0</v>
      </c>
      <c r="G72" t="s">
        <v>46</v>
      </c>
      <c r="H72">
        <v>5.2571741000283501</v>
      </c>
      <c r="I72" t="s">
        <v>45</v>
      </c>
      <c r="J72">
        <v>0</v>
      </c>
      <c r="K72">
        <v>69</v>
      </c>
      <c r="L72">
        <v>69</v>
      </c>
      <c r="M72">
        <v>18</v>
      </c>
      <c r="N72">
        <v>215.05674650007799</v>
      </c>
      <c r="T72">
        <v>215.04892800003199</v>
      </c>
      <c r="U72">
        <v>215.05674650007799</v>
      </c>
      <c r="V72">
        <v>216.056603800039</v>
      </c>
      <c r="W72">
        <v>216.056603800039</v>
      </c>
      <c r="X72">
        <v>216.056603800039</v>
      </c>
      <c r="Y72">
        <v>221.32567620009601</v>
      </c>
      <c r="Z72" t="s">
        <v>46</v>
      </c>
      <c r="AA72">
        <v>5.2571741000283501</v>
      </c>
      <c r="AB72" t="s">
        <v>45</v>
      </c>
      <c r="AF72" t="s">
        <v>39</v>
      </c>
      <c r="AG72">
        <v>1</v>
      </c>
      <c r="AH72" t="s">
        <v>40</v>
      </c>
      <c r="AI72" t="s">
        <v>41</v>
      </c>
      <c r="AK72" t="s">
        <v>42</v>
      </c>
      <c r="AL72">
        <v>59.989765737873697</v>
      </c>
      <c r="AM72" t="s">
        <v>43</v>
      </c>
    </row>
    <row r="73" spans="1:39" x14ac:dyDescent="0.35">
      <c r="A73">
        <v>58</v>
      </c>
      <c r="B73">
        <v>82</v>
      </c>
      <c r="C73">
        <v>80</v>
      </c>
      <c r="D73">
        <v>70</v>
      </c>
      <c r="E73">
        <v>70</v>
      </c>
      <c r="F73">
        <v>0</v>
      </c>
      <c r="G73" t="s">
        <v>46</v>
      </c>
      <c r="H73">
        <v>1.2687730999896301</v>
      </c>
      <c r="I73" t="s">
        <v>45</v>
      </c>
      <c r="J73">
        <v>0</v>
      </c>
      <c r="K73">
        <v>70</v>
      </c>
      <c r="L73">
        <v>70</v>
      </c>
      <c r="M73">
        <v>23</v>
      </c>
      <c r="N73">
        <v>221.33965360000701</v>
      </c>
      <c r="T73">
        <v>221.33270370005599</v>
      </c>
      <c r="U73">
        <v>221.33965360000701</v>
      </c>
      <c r="V73">
        <v>222.340313400025</v>
      </c>
      <c r="W73">
        <v>222.340313400025</v>
      </c>
      <c r="X73">
        <v>222.340313400025</v>
      </c>
      <c r="Y73">
        <v>223.62488200003199</v>
      </c>
      <c r="Z73" t="s">
        <v>46</v>
      </c>
      <c r="AA73">
        <v>1.2687730999896301</v>
      </c>
      <c r="AB73" t="s">
        <v>45</v>
      </c>
      <c r="AF73" t="s">
        <v>39</v>
      </c>
      <c r="AG73">
        <v>1</v>
      </c>
      <c r="AH73" t="s">
        <v>40</v>
      </c>
      <c r="AI73" t="s">
        <v>41</v>
      </c>
      <c r="AK73" t="s">
        <v>42</v>
      </c>
      <c r="AL73">
        <v>59.989765737873697</v>
      </c>
      <c r="AM73" t="s">
        <v>43</v>
      </c>
    </row>
    <row r="74" spans="1:39" x14ac:dyDescent="0.35">
      <c r="A74">
        <v>44</v>
      </c>
      <c r="B74">
        <v>88</v>
      </c>
      <c r="C74">
        <v>20</v>
      </c>
      <c r="D74">
        <v>71</v>
      </c>
      <c r="E74">
        <v>71</v>
      </c>
      <c r="F74">
        <v>0</v>
      </c>
      <c r="G74" t="s">
        <v>46</v>
      </c>
      <c r="H74">
        <v>4.0047504000831298</v>
      </c>
      <c r="I74" t="s">
        <v>45</v>
      </c>
      <c r="J74">
        <v>0</v>
      </c>
      <c r="K74">
        <v>71</v>
      </c>
      <c r="L74">
        <v>71</v>
      </c>
      <c r="M74">
        <v>62</v>
      </c>
      <c r="N74">
        <v>223.64063410006901</v>
      </c>
      <c r="T74">
        <v>223.63616210001001</v>
      </c>
      <c r="U74">
        <v>223.64063410006901</v>
      </c>
      <c r="V74">
        <v>224.63979390007401</v>
      </c>
      <c r="W74">
        <v>224.63979390007401</v>
      </c>
      <c r="X74">
        <v>224.63979390007401</v>
      </c>
      <c r="Y74">
        <v>228.65786290005701</v>
      </c>
      <c r="Z74" t="s">
        <v>46</v>
      </c>
      <c r="AA74">
        <v>4.0047504000831298</v>
      </c>
      <c r="AB74" t="s">
        <v>45</v>
      </c>
      <c r="AF74" t="s">
        <v>39</v>
      </c>
      <c r="AG74">
        <v>1</v>
      </c>
      <c r="AH74" t="s">
        <v>40</v>
      </c>
      <c r="AI74" t="s">
        <v>41</v>
      </c>
      <c r="AK74" t="s">
        <v>42</v>
      </c>
      <c r="AL74">
        <v>59.989765737873697</v>
      </c>
      <c r="AM74" t="s">
        <v>43</v>
      </c>
    </row>
    <row r="75" spans="1:39" x14ac:dyDescent="0.35">
      <c r="A75">
        <v>96</v>
      </c>
      <c r="B75">
        <v>215</v>
      </c>
      <c r="C75">
        <v>46</v>
      </c>
      <c r="D75">
        <v>72</v>
      </c>
      <c r="E75">
        <v>72</v>
      </c>
      <c r="F75">
        <v>0</v>
      </c>
      <c r="G75" t="s">
        <v>44</v>
      </c>
      <c r="H75">
        <v>1.1491405999986399</v>
      </c>
      <c r="I75" t="s">
        <v>45</v>
      </c>
      <c r="J75">
        <v>0</v>
      </c>
      <c r="K75">
        <v>72</v>
      </c>
      <c r="L75">
        <v>72</v>
      </c>
      <c r="M75">
        <v>88</v>
      </c>
      <c r="N75">
        <v>228.67829230008601</v>
      </c>
      <c r="T75">
        <v>228.670250600087</v>
      </c>
      <c r="U75">
        <v>228.67829230008601</v>
      </c>
      <c r="V75">
        <v>229.673017200082</v>
      </c>
      <c r="W75">
        <v>229.673017200082</v>
      </c>
      <c r="X75">
        <v>229.68962000007701</v>
      </c>
      <c r="Y75">
        <v>230.82382290007001</v>
      </c>
      <c r="Z75" t="s">
        <v>44</v>
      </c>
      <c r="AA75">
        <v>1.1491405999986399</v>
      </c>
      <c r="AB75" t="s">
        <v>45</v>
      </c>
      <c r="AF75" t="s">
        <v>39</v>
      </c>
      <c r="AG75">
        <v>1</v>
      </c>
      <c r="AH75" t="s">
        <v>40</v>
      </c>
      <c r="AI75" t="s">
        <v>41</v>
      </c>
      <c r="AK75" t="s">
        <v>42</v>
      </c>
      <c r="AL75">
        <v>59.989765737873697</v>
      </c>
      <c r="AM75" t="s">
        <v>43</v>
      </c>
    </row>
    <row r="76" spans="1:39" x14ac:dyDescent="0.35">
      <c r="A76">
        <v>72</v>
      </c>
      <c r="B76">
        <v>155</v>
      </c>
      <c r="C76">
        <v>34</v>
      </c>
      <c r="D76">
        <v>73</v>
      </c>
      <c r="E76">
        <v>73</v>
      </c>
      <c r="F76">
        <v>0</v>
      </c>
      <c r="G76" t="s">
        <v>44</v>
      </c>
      <c r="H76">
        <v>1.20367580000311</v>
      </c>
      <c r="I76" t="s">
        <v>45</v>
      </c>
      <c r="J76">
        <v>0</v>
      </c>
      <c r="K76">
        <v>73</v>
      </c>
      <c r="L76">
        <v>73</v>
      </c>
      <c r="M76">
        <v>76</v>
      </c>
      <c r="N76">
        <v>230.83932630007601</v>
      </c>
      <c r="T76">
        <v>230.83473730005699</v>
      </c>
      <c r="U76">
        <v>230.83932630007601</v>
      </c>
      <c r="V76">
        <v>231.82375100010501</v>
      </c>
      <c r="W76">
        <v>231.82375100010501</v>
      </c>
      <c r="X76">
        <v>231.840389100019</v>
      </c>
      <c r="Y76">
        <v>233.04100930003901</v>
      </c>
      <c r="Z76" t="s">
        <v>44</v>
      </c>
      <c r="AA76">
        <v>1.20367580000311</v>
      </c>
      <c r="AB76" t="s">
        <v>45</v>
      </c>
      <c r="AF76" t="s">
        <v>39</v>
      </c>
      <c r="AG76">
        <v>1</v>
      </c>
      <c r="AH76" t="s">
        <v>40</v>
      </c>
      <c r="AI76" t="s">
        <v>41</v>
      </c>
      <c r="AK76" t="s">
        <v>42</v>
      </c>
      <c r="AL76">
        <v>59.989765737873697</v>
      </c>
      <c r="AM76" t="s">
        <v>43</v>
      </c>
    </row>
    <row r="77" spans="1:39" x14ac:dyDescent="0.35">
      <c r="A77">
        <v>92</v>
      </c>
      <c r="B77">
        <v>140</v>
      </c>
      <c r="C77">
        <v>165</v>
      </c>
      <c r="D77">
        <v>74</v>
      </c>
      <c r="E77">
        <v>74</v>
      </c>
      <c r="F77">
        <v>0</v>
      </c>
      <c r="G77" t="s">
        <v>46</v>
      </c>
      <c r="H77">
        <v>2.20315009995829</v>
      </c>
      <c r="I77" t="s">
        <v>45</v>
      </c>
      <c r="J77">
        <v>0</v>
      </c>
      <c r="K77">
        <v>74</v>
      </c>
      <c r="L77">
        <v>74</v>
      </c>
      <c r="M77">
        <v>40</v>
      </c>
      <c r="N77">
        <v>233.05626830004601</v>
      </c>
      <c r="T77">
        <v>233.04793260002</v>
      </c>
      <c r="U77">
        <v>233.05626830004601</v>
      </c>
      <c r="V77">
        <v>234.05701119999799</v>
      </c>
      <c r="W77">
        <v>234.05701119999799</v>
      </c>
      <c r="X77">
        <v>234.05701119999799</v>
      </c>
      <c r="Y77">
        <v>236.27452269999699</v>
      </c>
      <c r="Z77" t="s">
        <v>46</v>
      </c>
      <c r="AA77">
        <v>2.20315009995829</v>
      </c>
      <c r="AB77" t="s">
        <v>45</v>
      </c>
      <c r="AF77" t="s">
        <v>39</v>
      </c>
      <c r="AG77">
        <v>1</v>
      </c>
      <c r="AH77" t="s">
        <v>40</v>
      </c>
      <c r="AI77" t="s">
        <v>41</v>
      </c>
      <c r="AK77" t="s">
        <v>42</v>
      </c>
      <c r="AL77">
        <v>59.989765737873697</v>
      </c>
      <c r="AM77" t="s">
        <v>43</v>
      </c>
    </row>
    <row r="78" spans="1:39" x14ac:dyDescent="0.35">
      <c r="A78">
        <v>64</v>
      </c>
      <c r="B78">
        <v>135</v>
      </c>
      <c r="C78">
        <v>30</v>
      </c>
      <c r="D78">
        <v>75</v>
      </c>
      <c r="E78">
        <v>75</v>
      </c>
      <c r="F78">
        <v>0</v>
      </c>
      <c r="G78" t="s">
        <v>46</v>
      </c>
      <c r="H78">
        <v>3.6676571000134501</v>
      </c>
      <c r="I78" t="s">
        <v>45</v>
      </c>
      <c r="J78">
        <v>0</v>
      </c>
      <c r="K78">
        <v>75</v>
      </c>
      <c r="L78">
        <v>75</v>
      </c>
      <c r="M78">
        <v>72</v>
      </c>
      <c r="N78">
        <v>236.28941389999801</v>
      </c>
      <c r="T78">
        <v>236.28227710002099</v>
      </c>
      <c r="U78">
        <v>236.28941389999801</v>
      </c>
      <c r="V78">
        <v>237.29004150000401</v>
      </c>
      <c r="W78">
        <v>237.29004150000401</v>
      </c>
      <c r="X78">
        <v>237.29004150000401</v>
      </c>
      <c r="Y78">
        <v>240.95846690004601</v>
      </c>
      <c r="Z78" t="s">
        <v>46</v>
      </c>
      <c r="AA78">
        <v>3.6676571000134501</v>
      </c>
      <c r="AB78" t="s">
        <v>45</v>
      </c>
      <c r="AF78" t="s">
        <v>39</v>
      </c>
      <c r="AG78">
        <v>1</v>
      </c>
      <c r="AH78" t="s">
        <v>40</v>
      </c>
      <c r="AI78" t="s">
        <v>41</v>
      </c>
      <c r="AK78" t="s">
        <v>42</v>
      </c>
      <c r="AL78">
        <v>59.989765737873697</v>
      </c>
      <c r="AM78" t="s">
        <v>43</v>
      </c>
    </row>
    <row r="79" spans="1:39" x14ac:dyDescent="0.35">
      <c r="A79">
        <v>49</v>
      </c>
      <c r="B79">
        <v>60</v>
      </c>
      <c r="C79">
        <v>89</v>
      </c>
      <c r="D79">
        <v>76</v>
      </c>
      <c r="E79">
        <v>76</v>
      </c>
      <c r="F79">
        <v>0</v>
      </c>
      <c r="G79" t="s">
        <v>46</v>
      </c>
      <c r="H79">
        <v>1.2051205000607199</v>
      </c>
      <c r="I79" t="s">
        <v>45</v>
      </c>
      <c r="J79">
        <v>0</v>
      </c>
      <c r="K79">
        <v>76</v>
      </c>
      <c r="L79">
        <v>76</v>
      </c>
      <c r="M79">
        <v>4</v>
      </c>
      <c r="N79">
        <v>240.973235300043</v>
      </c>
      <c r="T79">
        <v>240.96702710003501</v>
      </c>
      <c r="U79">
        <v>240.973235300043</v>
      </c>
      <c r="V79">
        <v>241.97269600001101</v>
      </c>
      <c r="W79">
        <v>241.97269600001101</v>
      </c>
      <c r="X79">
        <v>241.97269600001101</v>
      </c>
      <c r="Y79">
        <v>243.19263380009201</v>
      </c>
      <c r="Z79" t="s">
        <v>46</v>
      </c>
      <c r="AA79">
        <v>1.2051205000607199</v>
      </c>
      <c r="AB79" t="s">
        <v>45</v>
      </c>
      <c r="AF79" t="s">
        <v>39</v>
      </c>
      <c r="AG79">
        <v>1</v>
      </c>
      <c r="AH79" t="s">
        <v>40</v>
      </c>
      <c r="AI79" t="s">
        <v>41</v>
      </c>
      <c r="AK79" t="s">
        <v>42</v>
      </c>
      <c r="AL79">
        <v>59.989765737873697</v>
      </c>
      <c r="AM79" t="s">
        <v>43</v>
      </c>
    </row>
    <row r="80" spans="1:39" x14ac:dyDescent="0.35">
      <c r="A80">
        <v>108</v>
      </c>
      <c r="B80">
        <v>245</v>
      </c>
      <c r="C80">
        <v>52</v>
      </c>
      <c r="D80">
        <v>77</v>
      </c>
      <c r="E80">
        <v>77</v>
      </c>
      <c r="F80">
        <v>0</v>
      </c>
      <c r="G80" t="s">
        <v>44</v>
      </c>
      <c r="H80">
        <v>0.78459569998085499</v>
      </c>
      <c r="I80" t="s">
        <v>45</v>
      </c>
      <c r="J80">
        <v>0</v>
      </c>
      <c r="K80">
        <v>77</v>
      </c>
      <c r="L80">
        <v>77</v>
      </c>
      <c r="M80">
        <v>94</v>
      </c>
      <c r="N80">
        <v>243.21268060000099</v>
      </c>
      <c r="T80">
        <v>243.20005470001999</v>
      </c>
      <c r="U80">
        <v>243.21268060000099</v>
      </c>
      <c r="V80">
        <v>244.20764700008999</v>
      </c>
      <c r="W80">
        <v>244.20764700008999</v>
      </c>
      <c r="X80">
        <v>244.222974800039</v>
      </c>
      <c r="Y80">
        <v>245.00692360009899</v>
      </c>
      <c r="Z80" t="s">
        <v>44</v>
      </c>
      <c r="AA80">
        <v>0.78459569998085499</v>
      </c>
      <c r="AB80" t="s">
        <v>45</v>
      </c>
      <c r="AF80" t="s">
        <v>39</v>
      </c>
      <c r="AG80">
        <v>1</v>
      </c>
      <c r="AH80" t="s">
        <v>40</v>
      </c>
      <c r="AI80" t="s">
        <v>41</v>
      </c>
      <c r="AK80" t="s">
        <v>42</v>
      </c>
      <c r="AL80">
        <v>59.989765737873697</v>
      </c>
      <c r="AM80" t="s">
        <v>43</v>
      </c>
    </row>
    <row r="81" spans="1:39" x14ac:dyDescent="0.35">
      <c r="A81">
        <v>22</v>
      </c>
      <c r="B81">
        <v>44</v>
      </c>
      <c r="C81">
        <v>9</v>
      </c>
      <c r="D81">
        <v>78</v>
      </c>
      <c r="E81">
        <v>78</v>
      </c>
      <c r="F81">
        <v>0</v>
      </c>
      <c r="G81" t="s">
        <v>44</v>
      </c>
      <c r="H81">
        <v>1.5911907000700001</v>
      </c>
      <c r="I81" t="s">
        <v>45</v>
      </c>
      <c r="J81">
        <v>0</v>
      </c>
      <c r="K81">
        <v>78</v>
      </c>
      <c r="L81">
        <v>78</v>
      </c>
      <c r="M81">
        <v>51</v>
      </c>
      <c r="N81">
        <v>245.02309140004201</v>
      </c>
      <c r="T81">
        <v>245.01306180003999</v>
      </c>
      <c r="U81">
        <v>245.02309140004201</v>
      </c>
      <c r="V81">
        <v>246.005897900089</v>
      </c>
      <c r="W81">
        <v>246.005897900089</v>
      </c>
      <c r="X81">
        <v>246.02261450001899</v>
      </c>
      <c r="Y81">
        <v>247.60738230007701</v>
      </c>
      <c r="Z81" t="s">
        <v>44</v>
      </c>
      <c r="AA81">
        <v>1.5911907000700001</v>
      </c>
      <c r="AB81" t="s">
        <v>45</v>
      </c>
      <c r="AF81" t="s">
        <v>39</v>
      </c>
      <c r="AG81">
        <v>1</v>
      </c>
      <c r="AH81" t="s">
        <v>40</v>
      </c>
      <c r="AI81" t="s">
        <v>41</v>
      </c>
      <c r="AK81" t="s">
        <v>42</v>
      </c>
      <c r="AL81">
        <v>59.989765737873697</v>
      </c>
      <c r="AM81" t="s">
        <v>43</v>
      </c>
    </row>
    <row r="82" spans="1:39" x14ac:dyDescent="0.35">
      <c r="A82">
        <v>78</v>
      </c>
      <c r="B82">
        <v>105</v>
      </c>
      <c r="C82">
        <v>130</v>
      </c>
      <c r="D82">
        <v>79</v>
      </c>
      <c r="E82">
        <v>79</v>
      </c>
      <c r="F82">
        <v>0</v>
      </c>
      <c r="G82" t="s">
        <v>46</v>
      </c>
      <c r="H82">
        <v>0.93422539997845799</v>
      </c>
      <c r="I82" t="s">
        <v>45</v>
      </c>
      <c r="J82">
        <v>0</v>
      </c>
      <c r="K82">
        <v>79</v>
      </c>
      <c r="L82">
        <v>79</v>
      </c>
      <c r="M82">
        <v>33</v>
      </c>
      <c r="N82">
        <v>247.622664600028</v>
      </c>
      <c r="T82">
        <v>247.614536100067</v>
      </c>
      <c r="U82">
        <v>247.622664600028</v>
      </c>
      <c r="V82">
        <v>248.62267170008201</v>
      </c>
      <c r="W82">
        <v>248.62267170008201</v>
      </c>
      <c r="X82">
        <v>248.62267170008201</v>
      </c>
      <c r="Y82">
        <v>249.55866610002701</v>
      </c>
      <c r="Z82" t="s">
        <v>46</v>
      </c>
      <c r="AA82">
        <v>0.93422539997845799</v>
      </c>
      <c r="AB82" t="s">
        <v>45</v>
      </c>
      <c r="AF82" t="s">
        <v>39</v>
      </c>
      <c r="AG82">
        <v>1</v>
      </c>
      <c r="AH82" t="s">
        <v>40</v>
      </c>
      <c r="AI82" t="s">
        <v>41</v>
      </c>
      <c r="AK82" t="s">
        <v>42</v>
      </c>
      <c r="AL82">
        <v>59.989765737873697</v>
      </c>
      <c r="AM82" t="s">
        <v>43</v>
      </c>
    </row>
    <row r="83" spans="1:39" x14ac:dyDescent="0.35">
      <c r="A83">
        <v>62</v>
      </c>
      <c r="B83">
        <v>86</v>
      </c>
      <c r="C83">
        <v>90</v>
      </c>
      <c r="D83">
        <v>80</v>
      </c>
      <c r="E83">
        <v>80</v>
      </c>
      <c r="F83">
        <v>0</v>
      </c>
      <c r="G83" t="s">
        <v>46</v>
      </c>
      <c r="H83">
        <v>3.4911275000776998</v>
      </c>
      <c r="I83" t="s">
        <v>45</v>
      </c>
      <c r="J83">
        <v>0</v>
      </c>
      <c r="K83">
        <v>80</v>
      </c>
      <c r="L83">
        <v>80</v>
      </c>
      <c r="M83">
        <v>25</v>
      </c>
      <c r="N83">
        <v>249.57265790004701</v>
      </c>
      <c r="T83">
        <v>249.56544950010701</v>
      </c>
      <c r="U83">
        <v>249.57265790004701</v>
      </c>
      <c r="V83">
        <v>250.57259510003399</v>
      </c>
      <c r="W83">
        <v>250.57259510003399</v>
      </c>
      <c r="X83">
        <v>250.57259510003399</v>
      </c>
      <c r="Y83">
        <v>254.07519600004801</v>
      </c>
      <c r="Z83" t="s">
        <v>46</v>
      </c>
      <c r="AA83">
        <v>3.4911275000776998</v>
      </c>
      <c r="AB83" t="s">
        <v>45</v>
      </c>
      <c r="AF83" t="s">
        <v>39</v>
      </c>
      <c r="AG83">
        <v>1</v>
      </c>
      <c r="AH83" t="s">
        <v>40</v>
      </c>
      <c r="AI83" t="s">
        <v>41</v>
      </c>
      <c r="AK83" t="s">
        <v>42</v>
      </c>
      <c r="AL83">
        <v>59.989765737873697</v>
      </c>
      <c r="AM83" t="s">
        <v>43</v>
      </c>
    </row>
    <row r="84" spans="1:39" x14ac:dyDescent="0.35">
      <c r="A84">
        <v>48</v>
      </c>
      <c r="B84">
        <v>96</v>
      </c>
      <c r="C84">
        <v>22</v>
      </c>
      <c r="D84">
        <v>81</v>
      </c>
      <c r="E84">
        <v>81</v>
      </c>
      <c r="F84">
        <v>0</v>
      </c>
      <c r="G84" t="s">
        <v>44</v>
      </c>
      <c r="H84">
        <v>1.2004864999325899</v>
      </c>
      <c r="I84" t="s">
        <v>45</v>
      </c>
      <c r="J84">
        <v>0</v>
      </c>
      <c r="K84">
        <v>81</v>
      </c>
      <c r="L84">
        <v>81</v>
      </c>
      <c r="M84">
        <v>64</v>
      </c>
      <c r="N84">
        <v>254.09255649999201</v>
      </c>
      <c r="T84">
        <v>254.087598400074</v>
      </c>
      <c r="U84">
        <v>254.09255649999201</v>
      </c>
      <c r="V84">
        <v>255.09031410003001</v>
      </c>
      <c r="W84">
        <v>255.09031410003001</v>
      </c>
      <c r="X84">
        <v>255.10740650002799</v>
      </c>
      <c r="Y84">
        <v>256.29154230002302</v>
      </c>
      <c r="Z84" t="s">
        <v>44</v>
      </c>
      <c r="AA84">
        <v>1.2004864999325899</v>
      </c>
      <c r="AB84" t="s">
        <v>45</v>
      </c>
      <c r="AF84" t="s">
        <v>39</v>
      </c>
      <c r="AG84">
        <v>1</v>
      </c>
      <c r="AH84" t="s">
        <v>40</v>
      </c>
      <c r="AI84" t="s">
        <v>41</v>
      </c>
      <c r="AK84" t="s">
        <v>42</v>
      </c>
      <c r="AL84">
        <v>59.989765737873697</v>
      </c>
      <c r="AM84" t="s">
        <v>43</v>
      </c>
    </row>
    <row r="85" spans="1:39" x14ac:dyDescent="0.35">
      <c r="A85">
        <v>82</v>
      </c>
      <c r="B85">
        <v>115</v>
      </c>
      <c r="C85">
        <v>140</v>
      </c>
      <c r="D85">
        <v>82</v>
      </c>
      <c r="E85">
        <v>82</v>
      </c>
      <c r="F85">
        <v>0</v>
      </c>
      <c r="G85" t="s">
        <v>46</v>
      </c>
      <c r="H85">
        <v>1.5835105000296601</v>
      </c>
      <c r="I85" t="s">
        <v>45</v>
      </c>
      <c r="J85">
        <v>0</v>
      </c>
      <c r="K85">
        <v>82</v>
      </c>
      <c r="L85">
        <v>82</v>
      </c>
      <c r="M85">
        <v>35</v>
      </c>
      <c r="N85">
        <v>256.30578360008002</v>
      </c>
      <c r="T85">
        <v>256.30229660007097</v>
      </c>
      <c r="U85">
        <v>256.30578360008002</v>
      </c>
      <c r="V85">
        <v>257.30673150007999</v>
      </c>
      <c r="W85">
        <v>257.30673150007999</v>
      </c>
      <c r="X85">
        <v>257.30673150007999</v>
      </c>
      <c r="Y85">
        <v>258.891484200023</v>
      </c>
      <c r="Z85" t="s">
        <v>46</v>
      </c>
      <c r="AA85">
        <v>1.5835105000296601</v>
      </c>
      <c r="AB85" t="s">
        <v>45</v>
      </c>
      <c r="AF85" t="s">
        <v>39</v>
      </c>
      <c r="AG85">
        <v>1</v>
      </c>
      <c r="AH85" t="s">
        <v>40</v>
      </c>
      <c r="AI85" t="s">
        <v>41</v>
      </c>
      <c r="AK85" t="s">
        <v>42</v>
      </c>
      <c r="AL85">
        <v>59.989765737873697</v>
      </c>
      <c r="AM85" t="s">
        <v>43</v>
      </c>
    </row>
    <row r="86" spans="1:39" x14ac:dyDescent="0.35">
      <c r="A86">
        <v>100</v>
      </c>
      <c r="B86">
        <v>160</v>
      </c>
      <c r="C86">
        <v>185</v>
      </c>
      <c r="D86">
        <v>83</v>
      </c>
      <c r="E86">
        <v>83</v>
      </c>
      <c r="F86">
        <v>0</v>
      </c>
      <c r="G86" t="s">
        <v>46</v>
      </c>
      <c r="H86">
        <v>1.3962989998981299</v>
      </c>
      <c r="I86" t="s">
        <v>45</v>
      </c>
      <c r="J86">
        <v>0</v>
      </c>
      <c r="K86">
        <v>83</v>
      </c>
      <c r="L86">
        <v>83</v>
      </c>
      <c r="M86">
        <v>44</v>
      </c>
      <c r="N86">
        <v>258.905825400026</v>
      </c>
      <c r="T86">
        <v>258.89892510010299</v>
      </c>
      <c r="U86">
        <v>258.905825400026</v>
      </c>
      <c r="V86">
        <v>259.90658539999203</v>
      </c>
      <c r="W86">
        <v>259.90658539999203</v>
      </c>
      <c r="X86">
        <v>259.90658539999203</v>
      </c>
      <c r="Y86">
        <v>261.30720410007001</v>
      </c>
      <c r="Z86" t="s">
        <v>46</v>
      </c>
      <c r="AA86">
        <v>1.3962989998981299</v>
      </c>
      <c r="AB86" t="s">
        <v>45</v>
      </c>
      <c r="AF86" t="s">
        <v>39</v>
      </c>
      <c r="AG86">
        <v>1</v>
      </c>
      <c r="AH86" t="s">
        <v>40</v>
      </c>
      <c r="AI86" t="s">
        <v>41</v>
      </c>
      <c r="AK86" t="s">
        <v>42</v>
      </c>
      <c r="AL86">
        <v>59.989765737873697</v>
      </c>
      <c r="AM86" t="s">
        <v>43</v>
      </c>
    </row>
    <row r="87" spans="1:39" x14ac:dyDescent="0.35">
      <c r="A87">
        <v>104</v>
      </c>
      <c r="B87">
        <v>235</v>
      </c>
      <c r="C87">
        <v>50</v>
      </c>
      <c r="D87">
        <v>84</v>
      </c>
      <c r="E87">
        <v>84</v>
      </c>
      <c r="F87">
        <v>0</v>
      </c>
      <c r="G87" t="s">
        <v>44</v>
      </c>
      <c r="H87">
        <v>1.4225590999703801</v>
      </c>
      <c r="I87" t="s">
        <v>45</v>
      </c>
      <c r="J87">
        <v>0</v>
      </c>
      <c r="K87">
        <v>84</v>
      </c>
      <c r="L87">
        <v>84</v>
      </c>
      <c r="M87">
        <v>92</v>
      </c>
      <c r="N87">
        <v>261.322504900046</v>
      </c>
      <c r="T87">
        <v>261.31673620000902</v>
      </c>
      <c r="U87">
        <v>261.322504900046</v>
      </c>
      <c r="V87">
        <v>262.32293940009498</v>
      </c>
      <c r="W87">
        <v>262.32293940009498</v>
      </c>
      <c r="X87">
        <v>262.32293940009498</v>
      </c>
      <c r="Y87">
        <v>263.75739969999898</v>
      </c>
      <c r="Z87" t="s">
        <v>44</v>
      </c>
      <c r="AA87">
        <v>1.4225590999703801</v>
      </c>
      <c r="AB87" t="s">
        <v>45</v>
      </c>
      <c r="AF87" t="s">
        <v>39</v>
      </c>
      <c r="AG87">
        <v>1</v>
      </c>
      <c r="AH87" t="s">
        <v>40</v>
      </c>
      <c r="AI87" t="s">
        <v>41</v>
      </c>
      <c r="AK87" t="s">
        <v>42</v>
      </c>
      <c r="AL87">
        <v>59.989765737873697</v>
      </c>
      <c r="AM87" t="s">
        <v>43</v>
      </c>
    </row>
    <row r="88" spans="1:39" x14ac:dyDescent="0.35">
      <c r="A88">
        <v>90</v>
      </c>
      <c r="B88">
        <v>200</v>
      </c>
      <c r="C88">
        <v>43</v>
      </c>
      <c r="D88">
        <v>85</v>
      </c>
      <c r="E88">
        <v>85</v>
      </c>
      <c r="F88">
        <v>0</v>
      </c>
      <c r="G88" t="s">
        <v>44</v>
      </c>
      <c r="H88">
        <v>1.34739140002056</v>
      </c>
      <c r="I88" t="s">
        <v>45</v>
      </c>
      <c r="J88">
        <v>0</v>
      </c>
      <c r="K88">
        <v>85</v>
      </c>
      <c r="L88">
        <v>85</v>
      </c>
      <c r="M88">
        <v>85</v>
      </c>
      <c r="N88">
        <v>263.77350380003901</v>
      </c>
      <c r="T88">
        <v>263.767726900056</v>
      </c>
      <c r="U88">
        <v>263.77350380003901</v>
      </c>
      <c r="V88">
        <v>264.77277810010099</v>
      </c>
      <c r="W88">
        <v>264.77277810010099</v>
      </c>
      <c r="X88">
        <v>264.77277810010099</v>
      </c>
      <c r="Y88">
        <v>266.123185900039</v>
      </c>
      <c r="Z88" t="s">
        <v>44</v>
      </c>
      <c r="AA88">
        <v>1.34739140002056</v>
      </c>
      <c r="AB88" t="s">
        <v>45</v>
      </c>
      <c r="AF88" t="s">
        <v>39</v>
      </c>
      <c r="AG88">
        <v>1</v>
      </c>
      <c r="AH88" t="s">
        <v>40</v>
      </c>
      <c r="AI88" t="s">
        <v>41</v>
      </c>
      <c r="AK88" t="s">
        <v>42</v>
      </c>
      <c r="AL88">
        <v>59.989765737873697</v>
      </c>
      <c r="AM88" t="s">
        <v>43</v>
      </c>
    </row>
    <row r="89" spans="1:39" x14ac:dyDescent="0.35">
      <c r="A89">
        <v>54</v>
      </c>
      <c r="B89">
        <v>110</v>
      </c>
      <c r="C89">
        <v>25</v>
      </c>
      <c r="D89">
        <v>86</v>
      </c>
      <c r="E89">
        <v>86</v>
      </c>
      <c r="F89">
        <v>0</v>
      </c>
      <c r="G89" t="s">
        <v>46</v>
      </c>
      <c r="H89">
        <v>1.3931218999205099</v>
      </c>
      <c r="I89" t="s">
        <v>45</v>
      </c>
      <c r="J89">
        <v>0</v>
      </c>
      <c r="K89">
        <v>86</v>
      </c>
      <c r="L89">
        <v>86</v>
      </c>
      <c r="M89">
        <v>67</v>
      </c>
      <c r="N89">
        <v>266.13933910010297</v>
      </c>
      <c r="T89">
        <v>266.13231160002698</v>
      </c>
      <c r="U89">
        <v>266.13933910010297</v>
      </c>
      <c r="V89">
        <v>267.12301760003902</v>
      </c>
      <c r="W89">
        <v>267.12301760003902</v>
      </c>
      <c r="X89">
        <v>267.13931880006498</v>
      </c>
      <c r="Y89">
        <v>268.52390810009001</v>
      </c>
      <c r="Z89" t="s">
        <v>46</v>
      </c>
      <c r="AA89">
        <v>1.3931218999205099</v>
      </c>
      <c r="AB89" t="s">
        <v>45</v>
      </c>
      <c r="AF89" t="s">
        <v>39</v>
      </c>
      <c r="AG89">
        <v>1</v>
      </c>
      <c r="AH89" t="s">
        <v>40</v>
      </c>
      <c r="AI89" t="s">
        <v>41</v>
      </c>
      <c r="AK89" t="s">
        <v>42</v>
      </c>
      <c r="AL89">
        <v>59.989765737873697</v>
      </c>
      <c r="AM89" t="s">
        <v>43</v>
      </c>
    </row>
    <row r="90" spans="1:39" x14ac:dyDescent="0.35">
      <c r="A90">
        <v>12</v>
      </c>
      <c r="B90">
        <v>24</v>
      </c>
      <c r="C90">
        <v>4</v>
      </c>
      <c r="D90">
        <v>87</v>
      </c>
      <c r="E90">
        <v>87</v>
      </c>
      <c r="F90">
        <v>0</v>
      </c>
      <c r="G90" t="s">
        <v>44</v>
      </c>
      <c r="H90">
        <v>1.33937139995396</v>
      </c>
      <c r="I90" t="s">
        <v>45</v>
      </c>
      <c r="J90">
        <v>0</v>
      </c>
      <c r="K90">
        <v>87</v>
      </c>
      <c r="L90">
        <v>87</v>
      </c>
      <c r="M90">
        <v>46</v>
      </c>
      <c r="N90">
        <v>268.53922330005997</v>
      </c>
      <c r="T90">
        <v>268.533870400046</v>
      </c>
      <c r="U90">
        <v>268.53922330005997</v>
      </c>
      <c r="V90">
        <v>269.522819700068</v>
      </c>
      <c r="W90">
        <v>269.522819700068</v>
      </c>
      <c r="X90">
        <v>269.53940370003602</v>
      </c>
      <c r="Y90">
        <v>270.87401930009901</v>
      </c>
      <c r="Z90" t="s">
        <v>44</v>
      </c>
      <c r="AA90">
        <v>1.33937139995396</v>
      </c>
      <c r="AB90" t="s">
        <v>45</v>
      </c>
      <c r="AF90" t="s">
        <v>39</v>
      </c>
      <c r="AG90">
        <v>1</v>
      </c>
      <c r="AH90" t="s">
        <v>40</v>
      </c>
      <c r="AI90" t="s">
        <v>41</v>
      </c>
      <c r="AK90" t="s">
        <v>42</v>
      </c>
      <c r="AL90">
        <v>59.989765737873697</v>
      </c>
      <c r="AM90" t="s">
        <v>43</v>
      </c>
    </row>
    <row r="91" spans="1:39" x14ac:dyDescent="0.35">
      <c r="A91">
        <v>42</v>
      </c>
      <c r="B91">
        <v>70</v>
      </c>
      <c r="C91">
        <v>50</v>
      </c>
      <c r="D91">
        <v>88</v>
      </c>
      <c r="E91">
        <v>88</v>
      </c>
      <c r="F91">
        <v>0</v>
      </c>
      <c r="G91" t="s">
        <v>46</v>
      </c>
      <c r="H91">
        <v>0.87847509991843198</v>
      </c>
      <c r="I91" t="s">
        <v>45</v>
      </c>
      <c r="J91">
        <v>0</v>
      </c>
      <c r="K91">
        <v>88</v>
      </c>
      <c r="L91">
        <v>88</v>
      </c>
      <c r="M91">
        <v>17</v>
      </c>
      <c r="N91">
        <v>270.888869600021</v>
      </c>
      <c r="T91">
        <v>270.88154370000098</v>
      </c>
      <c r="U91">
        <v>270.888869600021</v>
      </c>
      <c r="V91">
        <v>271.888981300056</v>
      </c>
      <c r="W91">
        <v>271.888981300056</v>
      </c>
      <c r="X91">
        <v>271.888981300056</v>
      </c>
      <c r="Y91">
        <v>272.77343200007402</v>
      </c>
      <c r="Z91" t="s">
        <v>46</v>
      </c>
      <c r="AA91">
        <v>0.87847509991843198</v>
      </c>
      <c r="AB91" t="s">
        <v>45</v>
      </c>
      <c r="AF91" t="s">
        <v>39</v>
      </c>
      <c r="AG91">
        <v>1</v>
      </c>
      <c r="AH91" t="s">
        <v>40</v>
      </c>
      <c r="AI91" t="s">
        <v>41</v>
      </c>
      <c r="AK91" t="s">
        <v>42</v>
      </c>
      <c r="AL91">
        <v>59.989765737873697</v>
      </c>
      <c r="AM91" t="s">
        <v>43</v>
      </c>
    </row>
    <row r="92" spans="1:39" x14ac:dyDescent="0.35">
      <c r="A92">
        <v>74</v>
      </c>
      <c r="B92">
        <v>98</v>
      </c>
      <c r="C92">
        <v>120</v>
      </c>
      <c r="D92">
        <v>89</v>
      </c>
      <c r="E92">
        <v>89</v>
      </c>
      <c r="F92">
        <v>0</v>
      </c>
      <c r="G92" t="s">
        <v>46</v>
      </c>
      <c r="H92">
        <v>1.7522140999790199</v>
      </c>
      <c r="I92" t="s">
        <v>45</v>
      </c>
      <c r="J92">
        <v>0</v>
      </c>
      <c r="K92">
        <v>89</v>
      </c>
      <c r="L92">
        <v>89</v>
      </c>
      <c r="M92">
        <v>31</v>
      </c>
      <c r="N92">
        <v>272.78877340000997</v>
      </c>
      <c r="T92">
        <v>272.78077350009698</v>
      </c>
      <c r="U92">
        <v>272.78877340000997</v>
      </c>
      <c r="V92">
        <v>273.77260690007802</v>
      </c>
      <c r="W92">
        <v>273.77260690007802</v>
      </c>
      <c r="X92">
        <v>273.78926950006201</v>
      </c>
      <c r="Y92">
        <v>275.53981220000401</v>
      </c>
      <c r="Z92" t="s">
        <v>46</v>
      </c>
      <c r="AA92">
        <v>1.7522140999790199</v>
      </c>
      <c r="AB92" t="s">
        <v>45</v>
      </c>
      <c r="AF92" t="s">
        <v>39</v>
      </c>
      <c r="AG92">
        <v>1</v>
      </c>
      <c r="AH92" t="s">
        <v>40</v>
      </c>
      <c r="AI92" t="s">
        <v>41</v>
      </c>
      <c r="AK92" t="s">
        <v>42</v>
      </c>
      <c r="AL92">
        <v>59.989765737873697</v>
      </c>
      <c r="AM92" t="s">
        <v>43</v>
      </c>
    </row>
    <row r="93" spans="1:39" x14ac:dyDescent="0.35">
      <c r="A93">
        <v>84</v>
      </c>
      <c r="B93">
        <v>120</v>
      </c>
      <c r="C93">
        <v>145</v>
      </c>
      <c r="D93">
        <v>90</v>
      </c>
      <c r="E93">
        <v>90</v>
      </c>
      <c r="F93">
        <v>0</v>
      </c>
      <c r="G93" t="s">
        <v>46</v>
      </c>
      <c r="H93">
        <v>8.1042576000327209</v>
      </c>
      <c r="I93" t="s">
        <v>45</v>
      </c>
      <c r="J93">
        <v>0</v>
      </c>
      <c r="K93">
        <v>90</v>
      </c>
      <c r="L93">
        <v>90</v>
      </c>
      <c r="M93">
        <v>36</v>
      </c>
      <c r="N93">
        <v>275.555436199996</v>
      </c>
      <c r="T93">
        <v>275.54566020006303</v>
      </c>
      <c r="U93">
        <v>275.555436199996</v>
      </c>
      <c r="V93">
        <v>276.53915300010698</v>
      </c>
      <c r="W93">
        <v>276.53915300010698</v>
      </c>
      <c r="X93">
        <v>276.55548780004</v>
      </c>
      <c r="Y93">
        <v>284.65698339999602</v>
      </c>
      <c r="Z93" t="s">
        <v>46</v>
      </c>
      <c r="AA93">
        <v>8.1042576000327209</v>
      </c>
      <c r="AB93" t="s">
        <v>45</v>
      </c>
      <c r="AF93" t="s">
        <v>39</v>
      </c>
      <c r="AG93">
        <v>1</v>
      </c>
      <c r="AH93" t="s">
        <v>40</v>
      </c>
      <c r="AI93" t="s">
        <v>41</v>
      </c>
      <c r="AK93" t="s">
        <v>42</v>
      </c>
      <c r="AL93">
        <v>59.989765737873697</v>
      </c>
      <c r="AM93" t="s">
        <v>43</v>
      </c>
    </row>
    <row r="94" spans="1:39" x14ac:dyDescent="0.35">
      <c r="A94">
        <v>40</v>
      </c>
      <c r="B94">
        <v>80</v>
      </c>
      <c r="C94">
        <v>18</v>
      </c>
      <c r="D94">
        <v>91</v>
      </c>
      <c r="E94">
        <v>91</v>
      </c>
      <c r="F94">
        <v>0</v>
      </c>
      <c r="G94" t="s">
        <v>44</v>
      </c>
      <c r="H94">
        <v>1.5276554001029501</v>
      </c>
      <c r="I94" t="s">
        <v>45</v>
      </c>
      <c r="J94">
        <v>0</v>
      </c>
      <c r="K94">
        <v>91</v>
      </c>
      <c r="L94">
        <v>91</v>
      </c>
      <c r="M94">
        <v>60</v>
      </c>
      <c r="N94">
        <v>284.67680310003902</v>
      </c>
      <c r="T94">
        <v>284.671383900102</v>
      </c>
      <c r="U94">
        <v>284.67680310003902</v>
      </c>
      <c r="V94">
        <v>285.67231160006401</v>
      </c>
      <c r="W94">
        <v>285.67231160006401</v>
      </c>
      <c r="X94">
        <v>285.68855170009101</v>
      </c>
      <c r="Y94">
        <v>287.20601230009902</v>
      </c>
      <c r="Z94" t="s">
        <v>44</v>
      </c>
      <c r="AA94">
        <v>1.5276554001029501</v>
      </c>
      <c r="AB94" t="s">
        <v>45</v>
      </c>
      <c r="AF94" t="s">
        <v>39</v>
      </c>
      <c r="AG94">
        <v>1</v>
      </c>
      <c r="AH94" t="s">
        <v>40</v>
      </c>
      <c r="AI94" t="s">
        <v>41</v>
      </c>
      <c r="AK94" t="s">
        <v>42</v>
      </c>
      <c r="AL94">
        <v>59.989765737873697</v>
      </c>
      <c r="AM94" t="s">
        <v>43</v>
      </c>
    </row>
    <row r="95" spans="1:39" x14ac:dyDescent="0.35">
      <c r="A95">
        <v>76</v>
      </c>
      <c r="B95">
        <v>100</v>
      </c>
      <c r="C95">
        <v>125</v>
      </c>
      <c r="D95">
        <v>92</v>
      </c>
      <c r="E95">
        <v>92</v>
      </c>
      <c r="F95">
        <v>0</v>
      </c>
      <c r="G95" t="s">
        <v>46</v>
      </c>
      <c r="H95">
        <v>1.46215869998559</v>
      </c>
      <c r="I95" t="s">
        <v>45</v>
      </c>
      <c r="J95">
        <v>0</v>
      </c>
      <c r="K95">
        <v>92</v>
      </c>
      <c r="L95">
        <v>92</v>
      </c>
      <c r="M95">
        <v>32</v>
      </c>
      <c r="N95">
        <v>287.22233850008303</v>
      </c>
      <c r="T95">
        <v>287.21254209999398</v>
      </c>
      <c r="U95">
        <v>287.22233850008303</v>
      </c>
      <c r="V95">
        <v>288.20586530002703</v>
      </c>
      <c r="W95">
        <v>288.20586530002703</v>
      </c>
      <c r="X95">
        <v>288.22225230000902</v>
      </c>
      <c r="Y95">
        <v>289.67364739999101</v>
      </c>
      <c r="Z95" t="s">
        <v>46</v>
      </c>
      <c r="AA95">
        <v>1.46215869998559</v>
      </c>
      <c r="AB95" t="s">
        <v>45</v>
      </c>
      <c r="AF95" t="s">
        <v>39</v>
      </c>
      <c r="AG95">
        <v>1</v>
      </c>
      <c r="AH95" t="s">
        <v>40</v>
      </c>
      <c r="AI95" t="s">
        <v>41</v>
      </c>
      <c r="AK95" t="s">
        <v>42</v>
      </c>
      <c r="AL95">
        <v>59.989765737873697</v>
      </c>
      <c r="AM95" t="s">
        <v>43</v>
      </c>
    </row>
    <row r="96" spans="1:39" x14ac:dyDescent="0.35">
      <c r="A96">
        <v>18</v>
      </c>
      <c r="B96">
        <v>36</v>
      </c>
      <c r="C96">
        <v>7</v>
      </c>
      <c r="D96">
        <v>93</v>
      </c>
      <c r="E96">
        <v>93</v>
      </c>
      <c r="F96">
        <v>0</v>
      </c>
      <c r="G96" t="s">
        <v>44</v>
      </c>
      <c r="H96">
        <v>1.4863009999971799</v>
      </c>
      <c r="I96" t="s">
        <v>45</v>
      </c>
      <c r="J96">
        <v>0</v>
      </c>
      <c r="K96">
        <v>93</v>
      </c>
      <c r="L96">
        <v>93</v>
      </c>
      <c r="M96">
        <v>49</v>
      </c>
      <c r="N96">
        <v>289.68827730009798</v>
      </c>
      <c r="T96">
        <v>289.68146190000698</v>
      </c>
      <c r="U96">
        <v>289.68827730009798</v>
      </c>
      <c r="V96">
        <v>290.68886820005702</v>
      </c>
      <c r="W96">
        <v>290.68886820005702</v>
      </c>
      <c r="X96">
        <v>290.68886820005702</v>
      </c>
      <c r="Y96">
        <v>292.19091480004101</v>
      </c>
      <c r="Z96" t="s">
        <v>44</v>
      </c>
      <c r="AA96">
        <v>1.4863009999971799</v>
      </c>
      <c r="AB96" t="s">
        <v>45</v>
      </c>
      <c r="AF96" t="s">
        <v>39</v>
      </c>
      <c r="AG96">
        <v>1</v>
      </c>
      <c r="AH96" t="s">
        <v>40</v>
      </c>
      <c r="AI96" t="s">
        <v>41</v>
      </c>
      <c r="AK96" t="s">
        <v>42</v>
      </c>
      <c r="AL96">
        <v>59.989765737873697</v>
      </c>
      <c r="AM96" t="s">
        <v>43</v>
      </c>
    </row>
    <row r="97" spans="1:39" x14ac:dyDescent="0.35">
      <c r="A97">
        <v>50</v>
      </c>
      <c r="B97">
        <v>76</v>
      </c>
      <c r="C97">
        <v>65</v>
      </c>
      <c r="D97">
        <v>94</v>
      </c>
      <c r="E97">
        <v>94</v>
      </c>
      <c r="F97">
        <v>0</v>
      </c>
      <c r="G97" t="s">
        <v>46</v>
      </c>
      <c r="H97">
        <v>1.0044050000142299</v>
      </c>
      <c r="I97" t="s">
        <v>45</v>
      </c>
      <c r="J97">
        <v>0</v>
      </c>
      <c r="K97">
        <v>94</v>
      </c>
      <c r="L97">
        <v>94</v>
      </c>
      <c r="M97">
        <v>20</v>
      </c>
      <c r="N97">
        <v>292.20526280009602</v>
      </c>
      <c r="T97">
        <v>292.19847390008999</v>
      </c>
      <c r="U97">
        <v>292.20526280009602</v>
      </c>
      <c r="V97">
        <v>293.20544350007498</v>
      </c>
      <c r="W97">
        <v>293.20544350007498</v>
      </c>
      <c r="X97">
        <v>293.20544350007498</v>
      </c>
      <c r="Y97">
        <v>294.22284750000102</v>
      </c>
      <c r="Z97" t="s">
        <v>46</v>
      </c>
      <c r="AA97">
        <v>1.0044050000142299</v>
      </c>
      <c r="AB97" t="s">
        <v>45</v>
      </c>
      <c r="AF97" t="s">
        <v>39</v>
      </c>
      <c r="AG97">
        <v>1</v>
      </c>
      <c r="AH97" t="s">
        <v>40</v>
      </c>
      <c r="AI97" t="s">
        <v>41</v>
      </c>
      <c r="AK97" t="s">
        <v>42</v>
      </c>
      <c r="AL97">
        <v>59.989765737873697</v>
      </c>
      <c r="AM97" t="s">
        <v>43</v>
      </c>
    </row>
    <row r="98" spans="1:39" x14ac:dyDescent="0.35">
      <c r="A98">
        <v>11</v>
      </c>
      <c r="B98">
        <v>30</v>
      </c>
      <c r="C98">
        <v>7</v>
      </c>
      <c r="D98">
        <v>95</v>
      </c>
      <c r="E98">
        <v>95</v>
      </c>
      <c r="F98">
        <v>0</v>
      </c>
      <c r="G98" t="s">
        <v>44</v>
      </c>
      <c r="H98">
        <v>3.0355026000179302</v>
      </c>
      <c r="I98" t="s">
        <v>45</v>
      </c>
      <c r="J98">
        <v>0</v>
      </c>
      <c r="K98">
        <v>95</v>
      </c>
      <c r="L98">
        <v>95</v>
      </c>
      <c r="M98">
        <v>0</v>
      </c>
      <c r="N98">
        <v>294.23847070010299</v>
      </c>
      <c r="T98">
        <v>294.23015140008602</v>
      </c>
      <c r="U98">
        <v>294.23847070010299</v>
      </c>
      <c r="V98">
        <v>295.2223101001</v>
      </c>
      <c r="W98">
        <v>295.2223101001</v>
      </c>
      <c r="X98">
        <v>295.23899990005799</v>
      </c>
      <c r="Y98">
        <v>298.27249180001598</v>
      </c>
      <c r="Z98" t="s">
        <v>44</v>
      </c>
      <c r="AA98">
        <v>3.0355026000179302</v>
      </c>
      <c r="AB98" t="s">
        <v>45</v>
      </c>
      <c r="AF98" t="s">
        <v>39</v>
      </c>
      <c r="AG98">
        <v>1</v>
      </c>
      <c r="AH98" t="s">
        <v>40</v>
      </c>
      <c r="AI98" t="s">
        <v>41</v>
      </c>
      <c r="AK98" t="s">
        <v>42</v>
      </c>
      <c r="AL98">
        <v>59.989765737873697</v>
      </c>
      <c r="AM98" t="s">
        <v>43</v>
      </c>
    </row>
    <row r="99" spans="1:39" x14ac:dyDescent="0.35">
      <c r="A99">
        <v>90</v>
      </c>
      <c r="B99">
        <v>135</v>
      </c>
      <c r="C99">
        <v>160</v>
      </c>
      <c r="D99">
        <v>96</v>
      </c>
      <c r="E99">
        <v>96</v>
      </c>
      <c r="F99">
        <v>0</v>
      </c>
      <c r="G99" t="s">
        <v>46</v>
      </c>
      <c r="H99">
        <v>1.5940216999733801</v>
      </c>
      <c r="I99" t="s">
        <v>45</v>
      </c>
      <c r="J99">
        <v>0</v>
      </c>
      <c r="K99">
        <v>96</v>
      </c>
      <c r="L99">
        <v>96</v>
      </c>
      <c r="M99">
        <v>39</v>
      </c>
      <c r="N99">
        <v>298.28858140006099</v>
      </c>
      <c r="T99">
        <v>298.28155280009298</v>
      </c>
      <c r="U99">
        <v>298.28858140006099</v>
      </c>
      <c r="V99">
        <v>299.272379800095</v>
      </c>
      <c r="W99">
        <v>299.272379800095</v>
      </c>
      <c r="X99">
        <v>299.28882530005598</v>
      </c>
      <c r="Y99">
        <v>300.872961500077</v>
      </c>
      <c r="Z99" t="s">
        <v>46</v>
      </c>
      <c r="AA99">
        <v>1.5940216999733801</v>
      </c>
      <c r="AB99" t="s">
        <v>45</v>
      </c>
      <c r="AF99" t="s">
        <v>39</v>
      </c>
      <c r="AG99">
        <v>1</v>
      </c>
      <c r="AH99" t="s">
        <v>40</v>
      </c>
      <c r="AI99" t="s">
        <v>41</v>
      </c>
      <c r="AK99" t="s">
        <v>42</v>
      </c>
      <c r="AL99">
        <v>59.989765737873697</v>
      </c>
      <c r="AM99" t="s">
        <v>43</v>
      </c>
    </row>
    <row r="100" spans="1:39" x14ac:dyDescent="0.35">
      <c r="A100">
        <v>56</v>
      </c>
      <c r="B100">
        <v>115</v>
      </c>
      <c r="C100">
        <v>26</v>
      </c>
      <c r="D100">
        <v>97</v>
      </c>
      <c r="E100">
        <v>97</v>
      </c>
      <c r="F100">
        <v>0</v>
      </c>
      <c r="G100" t="s">
        <v>44</v>
      </c>
      <c r="H100">
        <v>1.09056000004056</v>
      </c>
      <c r="I100" t="s">
        <v>45</v>
      </c>
      <c r="J100">
        <v>0</v>
      </c>
      <c r="K100">
        <v>97</v>
      </c>
      <c r="L100">
        <v>97</v>
      </c>
      <c r="M100">
        <v>68</v>
      </c>
      <c r="N100">
        <v>300.88836970005599</v>
      </c>
      <c r="T100">
        <v>300.88186930003502</v>
      </c>
      <c r="U100">
        <v>300.88836970005599</v>
      </c>
      <c r="V100">
        <v>301.873488600016</v>
      </c>
      <c r="W100">
        <v>301.873488600016</v>
      </c>
      <c r="X100">
        <v>301.888602000079</v>
      </c>
      <c r="Y100">
        <v>302.97268960007898</v>
      </c>
      <c r="Z100" t="s">
        <v>44</v>
      </c>
      <c r="AA100">
        <v>1.09056000004056</v>
      </c>
      <c r="AB100" t="s">
        <v>45</v>
      </c>
      <c r="AF100" t="s">
        <v>39</v>
      </c>
      <c r="AG100">
        <v>1</v>
      </c>
      <c r="AH100" t="s">
        <v>40</v>
      </c>
      <c r="AI100" t="s">
        <v>41</v>
      </c>
      <c r="AK100" t="s">
        <v>42</v>
      </c>
      <c r="AL100">
        <v>59.989765737873697</v>
      </c>
      <c r="AM100" t="s">
        <v>43</v>
      </c>
    </row>
    <row r="101" spans="1:39" x14ac:dyDescent="0.35">
      <c r="A101">
        <v>42</v>
      </c>
      <c r="B101">
        <v>84</v>
      </c>
      <c r="C101">
        <v>19</v>
      </c>
      <c r="D101">
        <v>98</v>
      </c>
      <c r="E101">
        <v>98</v>
      </c>
      <c r="F101">
        <v>0</v>
      </c>
      <c r="G101" t="s">
        <v>46</v>
      </c>
      <c r="H101">
        <v>0.999980100081302</v>
      </c>
      <c r="I101" t="s">
        <v>45</v>
      </c>
      <c r="J101">
        <v>0</v>
      </c>
      <c r="K101">
        <v>98</v>
      </c>
      <c r="L101">
        <v>98</v>
      </c>
      <c r="M101">
        <v>61</v>
      </c>
      <c r="N101">
        <v>302.988657000008</v>
      </c>
      <c r="T101">
        <v>302.97965550003499</v>
      </c>
      <c r="U101">
        <v>302.988657000008</v>
      </c>
      <c r="V101">
        <v>303.971985800075</v>
      </c>
      <c r="W101">
        <v>303.971985800075</v>
      </c>
      <c r="X101">
        <v>303.98855560005097</v>
      </c>
      <c r="Y101">
        <v>304.97350190009399</v>
      </c>
      <c r="Z101" t="s">
        <v>46</v>
      </c>
      <c r="AA101">
        <v>0.999980100081302</v>
      </c>
      <c r="AB101" t="s">
        <v>45</v>
      </c>
      <c r="AF101" t="s">
        <v>39</v>
      </c>
      <c r="AG101">
        <v>1</v>
      </c>
      <c r="AH101" t="s">
        <v>40</v>
      </c>
      <c r="AI101" t="s">
        <v>41</v>
      </c>
      <c r="AK101" t="s">
        <v>42</v>
      </c>
      <c r="AL101">
        <v>59.989765737873697</v>
      </c>
      <c r="AM101" t="s">
        <v>43</v>
      </c>
    </row>
    <row r="102" spans="1:39" x14ac:dyDescent="0.35">
      <c r="A102">
        <v>70</v>
      </c>
      <c r="B102">
        <v>94</v>
      </c>
      <c r="C102">
        <v>110</v>
      </c>
      <c r="D102">
        <v>99</v>
      </c>
      <c r="E102">
        <v>99</v>
      </c>
      <c r="F102">
        <v>0</v>
      </c>
      <c r="G102" t="s">
        <v>46</v>
      </c>
      <c r="H102">
        <v>2.7073147998889899</v>
      </c>
      <c r="I102" t="s">
        <v>45</v>
      </c>
      <c r="J102">
        <v>0</v>
      </c>
      <c r="K102">
        <v>99</v>
      </c>
      <c r="L102">
        <v>99</v>
      </c>
      <c r="M102">
        <v>29</v>
      </c>
      <c r="N102">
        <v>304.98871570010601</v>
      </c>
      <c r="T102">
        <v>304.98050120007201</v>
      </c>
      <c r="U102">
        <v>304.98871570010601</v>
      </c>
      <c r="V102">
        <v>305.98828150006</v>
      </c>
      <c r="W102">
        <v>305.98828150006</v>
      </c>
      <c r="X102">
        <v>305.98828150006</v>
      </c>
      <c r="Y102">
        <v>308.70578570000299</v>
      </c>
      <c r="Z102" t="s">
        <v>46</v>
      </c>
      <c r="AA102">
        <v>2.7073147998889899</v>
      </c>
      <c r="AB102" t="s">
        <v>45</v>
      </c>
      <c r="AF102" t="s">
        <v>39</v>
      </c>
      <c r="AG102">
        <v>1</v>
      </c>
      <c r="AH102" t="s">
        <v>40</v>
      </c>
      <c r="AI102" t="s">
        <v>41</v>
      </c>
      <c r="AK102" t="s">
        <v>42</v>
      </c>
      <c r="AL102">
        <v>59.989765737873697</v>
      </c>
      <c r="AM102" t="s">
        <v>43</v>
      </c>
    </row>
    <row r="103" spans="1:39" x14ac:dyDescent="0.35">
      <c r="AC103">
        <v>308.70602540008201</v>
      </c>
      <c r="AD103">
        <v>308.72158540005302</v>
      </c>
      <c r="AE103">
        <v>310.70631949999301</v>
      </c>
      <c r="AF103" t="s">
        <v>39</v>
      </c>
      <c r="AG103">
        <v>1</v>
      </c>
      <c r="AH103" t="s">
        <v>40</v>
      </c>
      <c r="AI103" t="s">
        <v>41</v>
      </c>
      <c r="AK103" t="s">
        <v>42</v>
      </c>
      <c r="AL103">
        <v>59.989765737873697</v>
      </c>
      <c r="AM10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D2E4-EE80-4B88-AEF9-690B759F3F08}">
  <dimension ref="A1:H101"/>
  <sheetViews>
    <sheetView tabSelected="1" workbookViewId="0">
      <selection activeCell="H7" sqref="H7"/>
    </sheetView>
  </sheetViews>
  <sheetFormatPr defaultRowHeight="14.5" x14ac:dyDescent="0.35"/>
  <cols>
    <col min="1" max="1" width="11.6328125" bestFit="1" customWidth="1"/>
    <col min="2" max="2" width="12" bestFit="1" customWidth="1"/>
    <col min="3" max="3" width="5.08984375" bestFit="1" customWidth="1"/>
    <col min="4" max="4" width="12.08984375" bestFit="1" customWidth="1"/>
    <col min="5" max="5" width="20.26953125" bestFit="1" customWidth="1"/>
    <col min="7" max="7" width="33.1796875" bestFit="1" customWidth="1"/>
    <col min="8" max="8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6</v>
      </c>
      <c r="E1" t="s">
        <v>47</v>
      </c>
    </row>
    <row r="2" spans="1:8" x14ac:dyDescent="0.35">
      <c r="A2">
        <v>84</v>
      </c>
      <c r="B2">
        <v>185</v>
      </c>
      <c r="C2">
        <v>40</v>
      </c>
      <c r="D2" t="s">
        <v>44</v>
      </c>
      <c r="E2">
        <f>((B2/A2)-1)/C2</f>
        <v>3.0059523809523814E-2</v>
      </c>
    </row>
    <row r="3" spans="1:8" x14ac:dyDescent="0.35">
      <c r="A3">
        <v>100</v>
      </c>
      <c r="B3">
        <v>225</v>
      </c>
      <c r="C3">
        <v>48</v>
      </c>
      <c r="D3" t="s">
        <v>44</v>
      </c>
      <c r="E3">
        <f>((B3/A3)-1)/C3</f>
        <v>2.6041666666666668E-2</v>
      </c>
    </row>
    <row r="4" spans="1:8" x14ac:dyDescent="0.35">
      <c r="A4">
        <v>94</v>
      </c>
      <c r="B4">
        <v>210</v>
      </c>
      <c r="C4">
        <v>45</v>
      </c>
      <c r="D4" t="s">
        <v>44</v>
      </c>
      <c r="E4">
        <f>((B4/A4)-1)/C4</f>
        <v>2.7423167848699758E-2</v>
      </c>
    </row>
    <row r="5" spans="1:8" x14ac:dyDescent="0.35">
      <c r="A5">
        <v>94</v>
      </c>
      <c r="B5">
        <v>145</v>
      </c>
      <c r="C5">
        <v>170</v>
      </c>
      <c r="D5" t="s">
        <v>44</v>
      </c>
      <c r="E5">
        <f>((B5/A5)-1)/C5</f>
        <v>3.1914893617021279E-3</v>
      </c>
    </row>
    <row r="6" spans="1:8" x14ac:dyDescent="0.35">
      <c r="A6">
        <v>78</v>
      </c>
      <c r="B6">
        <v>170</v>
      </c>
      <c r="C6">
        <v>37</v>
      </c>
      <c r="D6" t="s">
        <v>44</v>
      </c>
      <c r="E6">
        <f>((B6/A6)-1)/C6</f>
        <v>3.1878031878031871E-2</v>
      </c>
    </row>
    <row r="7" spans="1:8" x14ac:dyDescent="0.35">
      <c r="A7">
        <v>68</v>
      </c>
      <c r="B7">
        <v>145</v>
      </c>
      <c r="C7">
        <v>32</v>
      </c>
      <c r="D7" t="s">
        <v>44</v>
      </c>
      <c r="E7">
        <f>((B7/A7)-1)/C7</f>
        <v>3.5386029411764705E-2</v>
      </c>
      <c r="G7" t="s">
        <v>48</v>
      </c>
      <c r="H7">
        <v>3.8042259406940185E-2</v>
      </c>
    </row>
    <row r="8" spans="1:8" x14ac:dyDescent="0.35">
      <c r="A8">
        <v>28</v>
      </c>
      <c r="B8">
        <v>56</v>
      </c>
      <c r="C8">
        <v>12</v>
      </c>
      <c r="D8" t="s">
        <v>44</v>
      </c>
      <c r="E8">
        <f>((B8/A8)-1)/C8</f>
        <v>8.3333333333333329E-2</v>
      </c>
    </row>
    <row r="9" spans="1:8" x14ac:dyDescent="0.35">
      <c r="A9">
        <v>74</v>
      </c>
      <c r="B9">
        <v>160</v>
      </c>
      <c r="C9">
        <v>35</v>
      </c>
      <c r="D9" t="s">
        <v>44</v>
      </c>
      <c r="E9">
        <f>((B9/A9)-1)/C9</f>
        <v>3.320463320463321E-2</v>
      </c>
    </row>
    <row r="10" spans="1:8" x14ac:dyDescent="0.35">
      <c r="A10">
        <v>82</v>
      </c>
      <c r="B10">
        <v>180</v>
      </c>
      <c r="C10">
        <v>39</v>
      </c>
      <c r="D10" t="s">
        <v>44</v>
      </c>
      <c r="E10">
        <f>((B10/A10)-1)/C10</f>
        <v>3.0644152595372114E-2</v>
      </c>
    </row>
    <row r="11" spans="1:8" x14ac:dyDescent="0.35">
      <c r="A11">
        <v>110</v>
      </c>
      <c r="B11">
        <v>250</v>
      </c>
      <c r="C11">
        <v>53</v>
      </c>
      <c r="D11" t="s">
        <v>44</v>
      </c>
      <c r="E11">
        <f>((B11/A11)-1)/C11</f>
        <v>2.4013722126929676E-2</v>
      </c>
    </row>
    <row r="12" spans="1:8" x14ac:dyDescent="0.35">
      <c r="A12">
        <v>12</v>
      </c>
      <c r="B12">
        <v>25</v>
      </c>
      <c r="C12">
        <v>5</v>
      </c>
      <c r="D12" t="s">
        <v>44</v>
      </c>
      <c r="E12">
        <f>((B12/A12)-1)/C12</f>
        <v>0.2166666666666667</v>
      </c>
    </row>
    <row r="13" spans="1:8" x14ac:dyDescent="0.35">
      <c r="A13">
        <v>86</v>
      </c>
      <c r="B13">
        <v>190</v>
      </c>
      <c r="C13">
        <v>41</v>
      </c>
      <c r="D13" t="s">
        <v>44</v>
      </c>
      <c r="E13">
        <f>((B13/A13)-1)/C13</f>
        <v>2.9495178672716959E-2</v>
      </c>
    </row>
    <row r="14" spans="1:8" x14ac:dyDescent="0.35">
      <c r="A14">
        <v>80</v>
      </c>
      <c r="B14">
        <v>175</v>
      </c>
      <c r="C14">
        <v>38</v>
      </c>
      <c r="D14" t="s">
        <v>44</v>
      </c>
      <c r="E14">
        <f>((B14/A14)-1)/C14</f>
        <v>3.125E-2</v>
      </c>
    </row>
    <row r="15" spans="1:8" x14ac:dyDescent="0.35">
      <c r="A15">
        <v>60</v>
      </c>
      <c r="B15">
        <v>125</v>
      </c>
      <c r="C15">
        <v>28</v>
      </c>
      <c r="D15" t="s">
        <v>44</v>
      </c>
      <c r="E15">
        <f>((B15/A15)-1)/C15</f>
        <v>3.8690476190476199E-2</v>
      </c>
    </row>
    <row r="16" spans="1:8" x14ac:dyDescent="0.35">
      <c r="A16">
        <v>14</v>
      </c>
      <c r="B16">
        <v>28</v>
      </c>
      <c r="C16">
        <v>5</v>
      </c>
      <c r="D16" t="s">
        <v>44</v>
      </c>
      <c r="E16">
        <f>((B16/A16)-1)/C16</f>
        <v>0.2</v>
      </c>
    </row>
    <row r="17" spans="1:5" x14ac:dyDescent="0.35">
      <c r="A17">
        <v>102</v>
      </c>
      <c r="B17">
        <v>230</v>
      </c>
      <c r="C17">
        <v>49</v>
      </c>
      <c r="D17" t="s">
        <v>44</v>
      </c>
      <c r="E17">
        <f>((B17/A17)-1)/C17</f>
        <v>2.5610244097639054E-2</v>
      </c>
    </row>
    <row r="18" spans="1:5" x14ac:dyDescent="0.35">
      <c r="A18">
        <v>116</v>
      </c>
      <c r="B18">
        <v>265</v>
      </c>
      <c r="C18">
        <v>56</v>
      </c>
      <c r="D18" t="s">
        <v>44</v>
      </c>
      <c r="E18">
        <f>((B18/A18)-1)/C18</f>
        <v>2.2937192118226597E-2</v>
      </c>
    </row>
    <row r="19" spans="1:5" x14ac:dyDescent="0.35">
      <c r="A19">
        <v>16</v>
      </c>
      <c r="B19">
        <v>32</v>
      </c>
      <c r="C19">
        <v>6</v>
      </c>
      <c r="D19" t="s">
        <v>44</v>
      </c>
      <c r="E19">
        <f>((B19/A19)-1)/C19</f>
        <v>0.16666666666666666</v>
      </c>
    </row>
    <row r="20" spans="1:5" x14ac:dyDescent="0.35">
      <c r="A20">
        <v>26</v>
      </c>
      <c r="B20">
        <v>52</v>
      </c>
      <c r="C20">
        <v>11</v>
      </c>
      <c r="D20" t="s">
        <v>44</v>
      </c>
      <c r="E20">
        <f>((B20/A20)-1)/C20</f>
        <v>9.0909090909090912E-2</v>
      </c>
    </row>
    <row r="21" spans="1:5" x14ac:dyDescent="0.35">
      <c r="A21">
        <v>20</v>
      </c>
      <c r="B21">
        <v>38</v>
      </c>
      <c r="C21">
        <v>12</v>
      </c>
      <c r="D21" t="s">
        <v>44</v>
      </c>
      <c r="E21">
        <f>((B21/A21)-1)/C21</f>
        <v>7.4999999999999997E-2</v>
      </c>
    </row>
    <row r="22" spans="1:5" x14ac:dyDescent="0.35">
      <c r="A22">
        <v>70</v>
      </c>
      <c r="B22">
        <v>150</v>
      </c>
      <c r="C22">
        <v>33</v>
      </c>
      <c r="D22" t="s">
        <v>44</v>
      </c>
      <c r="E22">
        <f>((B22/A22)-1)/C22</f>
        <v>3.4632034632034632E-2</v>
      </c>
    </row>
    <row r="23" spans="1:5" x14ac:dyDescent="0.35">
      <c r="A23">
        <v>106</v>
      </c>
      <c r="B23">
        <v>240</v>
      </c>
      <c r="C23">
        <v>51</v>
      </c>
      <c r="D23" t="s">
        <v>44</v>
      </c>
      <c r="E23">
        <f>((B23/A23)-1)/C23</f>
        <v>2.4787273399926008E-2</v>
      </c>
    </row>
    <row r="24" spans="1:5" x14ac:dyDescent="0.35">
      <c r="A24">
        <v>76</v>
      </c>
      <c r="B24">
        <v>165</v>
      </c>
      <c r="C24">
        <v>36</v>
      </c>
      <c r="D24" t="s">
        <v>44</v>
      </c>
      <c r="E24">
        <f>((B24/A24)-1)/C24</f>
        <v>3.2529239766081873E-2</v>
      </c>
    </row>
    <row r="25" spans="1:5" x14ac:dyDescent="0.35">
      <c r="A25">
        <v>20</v>
      </c>
      <c r="B25">
        <v>40</v>
      </c>
      <c r="C25">
        <v>8</v>
      </c>
      <c r="D25" t="s">
        <v>44</v>
      </c>
      <c r="E25">
        <f>((B25/A25)-1)/C25</f>
        <v>0.125</v>
      </c>
    </row>
    <row r="26" spans="1:5" x14ac:dyDescent="0.35">
      <c r="A26">
        <v>35</v>
      </c>
      <c r="B26">
        <v>60</v>
      </c>
      <c r="C26">
        <v>35</v>
      </c>
      <c r="D26" t="s">
        <v>44</v>
      </c>
      <c r="E26">
        <f>((B26/A26)-1)/C26</f>
        <v>2.0408163265306121E-2</v>
      </c>
    </row>
    <row r="27" spans="1:5" x14ac:dyDescent="0.35">
      <c r="A27">
        <v>27</v>
      </c>
      <c r="B27">
        <v>50</v>
      </c>
      <c r="C27">
        <v>21</v>
      </c>
      <c r="D27" t="s">
        <v>44</v>
      </c>
      <c r="E27">
        <f>((B27/A27)-1)/C27</f>
        <v>4.0564373897707229E-2</v>
      </c>
    </row>
    <row r="28" spans="1:5" x14ac:dyDescent="0.35">
      <c r="A28">
        <v>58</v>
      </c>
      <c r="B28">
        <v>120</v>
      </c>
      <c r="C28">
        <v>27</v>
      </c>
      <c r="D28" t="s">
        <v>44</v>
      </c>
      <c r="E28">
        <f>((B28/A28)-1)/C28</f>
        <v>3.9591315453384422E-2</v>
      </c>
    </row>
    <row r="29" spans="1:5" x14ac:dyDescent="0.35">
      <c r="A29">
        <v>66</v>
      </c>
      <c r="B29">
        <v>140</v>
      </c>
      <c r="C29">
        <v>31</v>
      </c>
      <c r="D29" t="s">
        <v>44</v>
      </c>
      <c r="E29">
        <f>((B29/A29)-1)/C29</f>
        <v>3.6168132942326486E-2</v>
      </c>
    </row>
    <row r="30" spans="1:5" x14ac:dyDescent="0.35">
      <c r="A30">
        <v>112</v>
      </c>
      <c r="B30">
        <v>255</v>
      </c>
      <c r="C30">
        <v>54</v>
      </c>
      <c r="D30" t="s">
        <v>44</v>
      </c>
      <c r="E30">
        <f>((B30/A30)-1)/C30</f>
        <v>2.3644179894179898E-2</v>
      </c>
    </row>
    <row r="31" spans="1:5" x14ac:dyDescent="0.35">
      <c r="A31">
        <v>92</v>
      </c>
      <c r="B31">
        <v>205</v>
      </c>
      <c r="C31">
        <v>44</v>
      </c>
      <c r="D31" t="s">
        <v>44</v>
      </c>
      <c r="E31">
        <f>((B31/A31)-1)/C31</f>
        <v>2.7915019762845848E-2</v>
      </c>
    </row>
    <row r="32" spans="1:5" x14ac:dyDescent="0.35">
      <c r="A32">
        <v>10</v>
      </c>
      <c r="B32">
        <v>20</v>
      </c>
      <c r="C32">
        <v>3</v>
      </c>
      <c r="D32" t="s">
        <v>44</v>
      </c>
      <c r="E32">
        <f>((B32/A32)-1)/C32</f>
        <v>0.33333333333333331</v>
      </c>
    </row>
    <row r="33" spans="1:7" x14ac:dyDescent="0.35">
      <c r="A33">
        <v>114</v>
      </c>
      <c r="B33">
        <v>260</v>
      </c>
      <c r="C33">
        <v>55</v>
      </c>
      <c r="D33" t="s">
        <v>44</v>
      </c>
      <c r="E33">
        <f>((B33/A33)-1)/C33</f>
        <v>2.328548644338118E-2</v>
      </c>
    </row>
    <row r="34" spans="1:7" x14ac:dyDescent="0.35">
      <c r="A34">
        <v>98</v>
      </c>
      <c r="B34">
        <v>220</v>
      </c>
      <c r="C34">
        <v>47</v>
      </c>
      <c r="D34" t="s">
        <v>44</v>
      </c>
      <c r="E34">
        <f>((B34/A34)-1)/C34</f>
        <v>2.6487190620929218E-2</v>
      </c>
    </row>
    <row r="35" spans="1:7" x14ac:dyDescent="0.35">
      <c r="A35">
        <v>52</v>
      </c>
      <c r="B35">
        <v>105</v>
      </c>
      <c r="C35">
        <v>24</v>
      </c>
      <c r="D35" t="s">
        <v>44</v>
      </c>
      <c r="E35">
        <f>((B35/A35)-1)/C35</f>
        <v>4.2467948717948713E-2</v>
      </c>
    </row>
    <row r="36" spans="1:7" x14ac:dyDescent="0.35">
      <c r="A36">
        <v>60</v>
      </c>
      <c r="B36">
        <v>84</v>
      </c>
      <c r="C36">
        <v>85</v>
      </c>
      <c r="D36" t="s">
        <v>44</v>
      </c>
      <c r="E36">
        <f>((B36/A36)-1)/C36</f>
        <v>4.7058823529411752E-3</v>
      </c>
    </row>
    <row r="37" spans="1:7" x14ac:dyDescent="0.35">
      <c r="A37">
        <v>96</v>
      </c>
      <c r="B37">
        <v>215</v>
      </c>
      <c r="C37">
        <v>46</v>
      </c>
      <c r="D37" t="s">
        <v>44</v>
      </c>
      <c r="E37">
        <f>((B37/A37)-1)/C37</f>
        <v>2.6947463768115944E-2</v>
      </c>
    </row>
    <row r="38" spans="1:7" x14ac:dyDescent="0.35">
      <c r="A38">
        <v>72</v>
      </c>
      <c r="B38">
        <v>155</v>
      </c>
      <c r="C38">
        <v>34</v>
      </c>
      <c r="D38" t="s">
        <v>44</v>
      </c>
      <c r="E38">
        <f>((B38/A38)-1)/C38</f>
        <v>3.3905228758169932E-2</v>
      </c>
    </row>
    <row r="39" spans="1:7" x14ac:dyDescent="0.35">
      <c r="A39">
        <v>108</v>
      </c>
      <c r="B39">
        <v>245</v>
      </c>
      <c r="C39">
        <v>52</v>
      </c>
      <c r="D39" t="s">
        <v>44</v>
      </c>
      <c r="E39">
        <f>((B39/A39)-1)/C39</f>
        <v>2.4394586894586897E-2</v>
      </c>
    </row>
    <row r="40" spans="1:7" x14ac:dyDescent="0.35">
      <c r="A40">
        <v>22</v>
      </c>
      <c r="B40">
        <v>44</v>
      </c>
      <c r="C40">
        <v>9</v>
      </c>
      <c r="D40" t="s">
        <v>44</v>
      </c>
      <c r="E40">
        <f>((B40/A40)-1)/C40</f>
        <v>0.1111111111111111</v>
      </c>
    </row>
    <row r="41" spans="1:7" x14ac:dyDescent="0.35">
      <c r="A41">
        <v>48</v>
      </c>
      <c r="B41">
        <v>96</v>
      </c>
      <c r="C41">
        <v>22</v>
      </c>
      <c r="D41" t="s">
        <v>44</v>
      </c>
      <c r="E41">
        <f>((B41/A41)-1)/C41</f>
        <v>4.5454545454545456E-2</v>
      </c>
    </row>
    <row r="42" spans="1:7" x14ac:dyDescent="0.35">
      <c r="A42">
        <v>104</v>
      </c>
      <c r="B42">
        <v>235</v>
      </c>
      <c r="C42">
        <v>50</v>
      </c>
      <c r="D42" t="s">
        <v>44</v>
      </c>
      <c r="E42">
        <f>((B42/A42)-1)/C42</f>
        <v>2.5192307692307691E-2</v>
      </c>
    </row>
    <row r="43" spans="1:7" x14ac:dyDescent="0.35">
      <c r="A43">
        <v>90</v>
      </c>
      <c r="B43">
        <v>200</v>
      </c>
      <c r="C43">
        <v>43</v>
      </c>
      <c r="D43" t="s">
        <v>44</v>
      </c>
      <c r="E43">
        <f>((B43/A43)-1)/C43</f>
        <v>2.8423772609819122E-2</v>
      </c>
    </row>
    <row r="44" spans="1:7" x14ac:dyDescent="0.35">
      <c r="A44">
        <v>12</v>
      </c>
      <c r="B44">
        <v>24</v>
      </c>
      <c r="C44">
        <v>4</v>
      </c>
      <c r="D44" t="s">
        <v>44</v>
      </c>
      <c r="E44">
        <f>((B44/A44)-1)/C44</f>
        <v>0.25</v>
      </c>
    </row>
    <row r="45" spans="1:7" x14ac:dyDescent="0.35">
      <c r="A45">
        <v>40</v>
      </c>
      <c r="B45">
        <v>80</v>
      </c>
      <c r="C45">
        <v>18</v>
      </c>
      <c r="D45" t="s">
        <v>44</v>
      </c>
      <c r="E45">
        <f>((B45/A45)-1)/C45</f>
        <v>5.5555555555555552E-2</v>
      </c>
    </row>
    <row r="46" spans="1:7" x14ac:dyDescent="0.35">
      <c r="A46">
        <v>18</v>
      </c>
      <c r="B46">
        <v>36</v>
      </c>
      <c r="C46">
        <v>7</v>
      </c>
      <c r="D46" t="s">
        <v>44</v>
      </c>
      <c r="E46">
        <f>((B46/A46)-1)/C46</f>
        <v>0.14285714285714285</v>
      </c>
    </row>
    <row r="47" spans="1:7" x14ac:dyDescent="0.35">
      <c r="A47">
        <v>11</v>
      </c>
      <c r="B47">
        <v>30</v>
      </c>
      <c r="C47">
        <v>7</v>
      </c>
      <c r="D47" t="s">
        <v>44</v>
      </c>
      <c r="E47">
        <f>((B47/A47)-1)/C47</f>
        <v>0.24675324675324672</v>
      </c>
    </row>
    <row r="48" spans="1:7" x14ac:dyDescent="0.35">
      <c r="A48">
        <v>56</v>
      </c>
      <c r="B48">
        <v>115</v>
      </c>
      <c r="C48">
        <v>26</v>
      </c>
      <c r="D48" t="s">
        <v>44</v>
      </c>
      <c r="E48">
        <f>((B48/A48)-1)/C48</f>
        <v>4.0521978021978017E-2</v>
      </c>
      <c r="G48">
        <f>GEOMEAN(E48:E49)</f>
        <v>3.8042259406940185E-2</v>
      </c>
    </row>
    <row r="49" spans="1:5" x14ac:dyDescent="0.35">
      <c r="A49">
        <v>28</v>
      </c>
      <c r="B49">
        <v>48</v>
      </c>
      <c r="C49">
        <v>20</v>
      </c>
      <c r="D49" t="s">
        <v>46</v>
      </c>
      <c r="E49">
        <f>((B49/A49)-1)/C49</f>
        <v>3.5714285714285712E-2</v>
      </c>
    </row>
    <row r="50" spans="1:5" x14ac:dyDescent="0.35">
      <c r="A50">
        <v>30</v>
      </c>
      <c r="B50">
        <v>60</v>
      </c>
      <c r="C50">
        <v>13</v>
      </c>
      <c r="D50" t="s">
        <v>46</v>
      </c>
      <c r="E50">
        <f>((B50/A50)-1)/C50</f>
        <v>7.6923076923076927E-2</v>
      </c>
    </row>
    <row r="51" spans="1:5" x14ac:dyDescent="0.35">
      <c r="A51">
        <v>38</v>
      </c>
      <c r="B51">
        <v>76</v>
      </c>
      <c r="C51">
        <v>17</v>
      </c>
      <c r="D51" t="s">
        <v>46</v>
      </c>
      <c r="E51">
        <f>((B51/A51)-1)/C51</f>
        <v>5.8823529411764705E-2</v>
      </c>
    </row>
    <row r="52" spans="1:5" x14ac:dyDescent="0.35">
      <c r="A52">
        <v>40</v>
      </c>
      <c r="B52">
        <v>55</v>
      </c>
      <c r="C52">
        <v>62</v>
      </c>
      <c r="D52" t="s">
        <v>46</v>
      </c>
      <c r="E52">
        <f>((B52/A52)-1)/C52</f>
        <v>6.0483870967741934E-3</v>
      </c>
    </row>
    <row r="53" spans="1:5" x14ac:dyDescent="0.35">
      <c r="A53">
        <v>25</v>
      </c>
      <c r="B53">
        <v>45</v>
      </c>
      <c r="C53">
        <v>16</v>
      </c>
      <c r="D53" t="s">
        <v>46</v>
      </c>
      <c r="E53">
        <f>((B53/A53)-1)/C53</f>
        <v>0.05</v>
      </c>
    </row>
    <row r="54" spans="1:5" x14ac:dyDescent="0.35">
      <c r="A54">
        <v>64</v>
      </c>
      <c r="B54">
        <v>88</v>
      </c>
      <c r="C54">
        <v>95</v>
      </c>
      <c r="D54" t="s">
        <v>46</v>
      </c>
      <c r="E54">
        <f>((B54/A54)-1)/C54</f>
        <v>3.9473684210526317E-3</v>
      </c>
    </row>
    <row r="55" spans="1:5" x14ac:dyDescent="0.35">
      <c r="A55">
        <v>34</v>
      </c>
      <c r="B55">
        <v>68</v>
      </c>
      <c r="C55">
        <v>15</v>
      </c>
      <c r="D55" t="s">
        <v>46</v>
      </c>
      <c r="E55">
        <f>((B55/A55)-1)/C55</f>
        <v>6.6666666666666666E-2</v>
      </c>
    </row>
    <row r="56" spans="1:5" x14ac:dyDescent="0.35">
      <c r="A56">
        <v>67</v>
      </c>
      <c r="B56">
        <v>75</v>
      </c>
      <c r="C56">
        <v>119</v>
      </c>
      <c r="D56" t="s">
        <v>46</v>
      </c>
      <c r="E56">
        <f>((B56/A56)-1)/C56</f>
        <v>1.0033864291985443E-3</v>
      </c>
    </row>
    <row r="57" spans="1:5" x14ac:dyDescent="0.35">
      <c r="A57">
        <v>15</v>
      </c>
      <c r="B57">
        <v>35</v>
      </c>
      <c r="C57">
        <v>13</v>
      </c>
      <c r="D57" t="s">
        <v>46</v>
      </c>
      <c r="E57">
        <f>((B57/A57)-1)/C57</f>
        <v>0.10256410256410257</v>
      </c>
    </row>
    <row r="58" spans="1:5" x14ac:dyDescent="0.35">
      <c r="A58">
        <v>55</v>
      </c>
      <c r="B58">
        <v>80</v>
      </c>
      <c r="C58">
        <v>75</v>
      </c>
      <c r="D58" t="s">
        <v>46</v>
      </c>
      <c r="E58">
        <f>((B58/A58)-1)/C58</f>
        <v>6.0606060606060615E-3</v>
      </c>
    </row>
    <row r="59" spans="1:5" x14ac:dyDescent="0.35">
      <c r="A59">
        <v>96</v>
      </c>
      <c r="B59">
        <v>150</v>
      </c>
      <c r="C59">
        <v>175</v>
      </c>
      <c r="D59" t="s">
        <v>46</v>
      </c>
      <c r="E59">
        <f>((B59/A59)-1)/C59</f>
        <v>3.2142857142857142E-3</v>
      </c>
    </row>
    <row r="60" spans="1:5" x14ac:dyDescent="0.35">
      <c r="A60">
        <v>118</v>
      </c>
      <c r="B60">
        <v>270</v>
      </c>
      <c r="C60">
        <v>57</v>
      </c>
      <c r="D60" t="s">
        <v>46</v>
      </c>
      <c r="E60">
        <f>((B60/A60)-1)/C60</f>
        <v>2.2598870056497179E-2</v>
      </c>
    </row>
    <row r="61" spans="1:5" x14ac:dyDescent="0.35">
      <c r="A61">
        <v>80</v>
      </c>
      <c r="B61">
        <v>110</v>
      </c>
      <c r="C61">
        <v>135</v>
      </c>
      <c r="D61" t="s">
        <v>46</v>
      </c>
      <c r="E61">
        <f>((B61/A61)-1)/C61</f>
        <v>2.7777777777777779E-3</v>
      </c>
    </row>
    <row r="62" spans="1:5" x14ac:dyDescent="0.35">
      <c r="A62">
        <v>18</v>
      </c>
      <c r="B62">
        <v>32</v>
      </c>
      <c r="C62">
        <v>9</v>
      </c>
      <c r="D62" t="s">
        <v>46</v>
      </c>
      <c r="E62">
        <f>((B62/A62)-1)/C62</f>
        <v>8.6419753086419748E-2</v>
      </c>
    </row>
    <row r="63" spans="1:5" x14ac:dyDescent="0.35">
      <c r="A63">
        <v>72</v>
      </c>
      <c r="B63">
        <v>96</v>
      </c>
      <c r="C63">
        <v>115</v>
      </c>
      <c r="D63" t="s">
        <v>46</v>
      </c>
      <c r="E63">
        <f>((B63/A63)-1)/C63</f>
        <v>2.8985507246376803E-3</v>
      </c>
    </row>
    <row r="64" spans="1:5" x14ac:dyDescent="0.35">
      <c r="A64">
        <v>53</v>
      </c>
      <c r="B64">
        <v>78</v>
      </c>
      <c r="C64">
        <v>70</v>
      </c>
      <c r="D64" t="s">
        <v>46</v>
      </c>
      <c r="E64">
        <f>((B64/A64)-1)/C64</f>
        <v>6.7385444743935296E-3</v>
      </c>
    </row>
    <row r="65" spans="1:5" x14ac:dyDescent="0.35">
      <c r="A65">
        <v>24</v>
      </c>
      <c r="B65">
        <v>48</v>
      </c>
      <c r="C65">
        <v>10</v>
      </c>
      <c r="D65" t="s">
        <v>46</v>
      </c>
      <c r="E65">
        <f>((B65/A65)-1)/C65</f>
        <v>0.1</v>
      </c>
    </row>
    <row r="66" spans="1:5" x14ac:dyDescent="0.35">
      <c r="A66">
        <v>88</v>
      </c>
      <c r="B66">
        <v>195</v>
      </c>
      <c r="C66">
        <v>42</v>
      </c>
      <c r="D66" t="s">
        <v>46</v>
      </c>
      <c r="E66">
        <f>((B66/A66)-1)/C66</f>
        <v>2.8950216450216448E-2</v>
      </c>
    </row>
    <row r="67" spans="1:5" x14ac:dyDescent="0.35">
      <c r="A67">
        <v>30</v>
      </c>
      <c r="B67">
        <v>52</v>
      </c>
      <c r="C67">
        <v>25</v>
      </c>
      <c r="D67" t="s">
        <v>46</v>
      </c>
      <c r="E67">
        <f>((B67/A67)-1)/C67</f>
        <v>2.9333333333333336E-2</v>
      </c>
    </row>
    <row r="68" spans="1:5" x14ac:dyDescent="0.35">
      <c r="A68">
        <v>50</v>
      </c>
      <c r="B68">
        <v>100</v>
      </c>
      <c r="C68">
        <v>23</v>
      </c>
      <c r="D68" t="s">
        <v>46</v>
      </c>
      <c r="E68">
        <f>((B68/A68)-1)/C68</f>
        <v>4.3478260869565216E-2</v>
      </c>
    </row>
    <row r="69" spans="1:5" x14ac:dyDescent="0.35">
      <c r="A69">
        <v>36</v>
      </c>
      <c r="B69">
        <v>72</v>
      </c>
      <c r="C69">
        <v>16</v>
      </c>
      <c r="D69" t="s">
        <v>46</v>
      </c>
      <c r="E69">
        <f>((B69/A69)-1)/C69</f>
        <v>6.25E-2</v>
      </c>
    </row>
    <row r="70" spans="1:5" x14ac:dyDescent="0.35">
      <c r="A70">
        <v>47</v>
      </c>
      <c r="B70">
        <v>74</v>
      </c>
      <c r="C70">
        <v>60</v>
      </c>
      <c r="D70" t="s">
        <v>46</v>
      </c>
      <c r="E70">
        <f>((B70/A70)-1)/C70</f>
        <v>9.5744680851063847E-3</v>
      </c>
    </row>
    <row r="71" spans="1:5" x14ac:dyDescent="0.35">
      <c r="A71">
        <v>62</v>
      </c>
      <c r="B71">
        <v>130</v>
      </c>
      <c r="C71">
        <v>29</v>
      </c>
      <c r="D71" t="s">
        <v>46</v>
      </c>
      <c r="E71">
        <f>((B71/A71)-1)/C71</f>
        <v>3.781979977753059E-2</v>
      </c>
    </row>
    <row r="72" spans="1:5" x14ac:dyDescent="0.35">
      <c r="A72">
        <v>37</v>
      </c>
      <c r="B72">
        <v>65</v>
      </c>
      <c r="C72">
        <v>40</v>
      </c>
      <c r="D72" t="s">
        <v>46</v>
      </c>
      <c r="E72">
        <f>((B72/A72)-1)/C72</f>
        <v>1.891891891891892E-2</v>
      </c>
    </row>
    <row r="73" spans="1:5" x14ac:dyDescent="0.35">
      <c r="A73">
        <v>39</v>
      </c>
      <c r="B73">
        <v>68</v>
      </c>
      <c r="C73">
        <v>45</v>
      </c>
      <c r="D73" t="s">
        <v>46</v>
      </c>
      <c r="E73">
        <f>((B73/A73)-1)/C73</f>
        <v>1.6524216524216526E-2</v>
      </c>
    </row>
    <row r="74" spans="1:5" x14ac:dyDescent="0.35">
      <c r="A74">
        <v>78</v>
      </c>
      <c r="B74">
        <v>80</v>
      </c>
      <c r="C74">
        <v>162</v>
      </c>
      <c r="D74" t="s">
        <v>46</v>
      </c>
      <c r="E74">
        <f>((B74/A74)-1)/C74</f>
        <v>1.5827793605571326E-4</v>
      </c>
    </row>
    <row r="75" spans="1:5" x14ac:dyDescent="0.35">
      <c r="A75">
        <v>88</v>
      </c>
      <c r="B75">
        <v>130</v>
      </c>
      <c r="C75">
        <v>155</v>
      </c>
      <c r="D75" t="s">
        <v>46</v>
      </c>
      <c r="E75">
        <f>((B75/A75)-1)/C75</f>
        <v>3.0791788856304987E-3</v>
      </c>
    </row>
    <row r="76" spans="1:5" x14ac:dyDescent="0.35">
      <c r="A76">
        <v>86</v>
      </c>
      <c r="B76">
        <v>125</v>
      </c>
      <c r="C76">
        <v>150</v>
      </c>
      <c r="D76" t="s">
        <v>46</v>
      </c>
      <c r="E76">
        <f>((B76/A76)-1)/C76</f>
        <v>3.0232558139534878E-3</v>
      </c>
    </row>
    <row r="77" spans="1:5" x14ac:dyDescent="0.35">
      <c r="A77">
        <v>68</v>
      </c>
      <c r="B77">
        <v>92</v>
      </c>
      <c r="C77">
        <v>105</v>
      </c>
      <c r="D77" t="s">
        <v>46</v>
      </c>
      <c r="E77">
        <f>((B77/A77)-1)/C77</f>
        <v>3.3613445378151267E-3</v>
      </c>
    </row>
    <row r="78" spans="1:5" x14ac:dyDescent="0.35">
      <c r="A78">
        <v>66</v>
      </c>
      <c r="B78">
        <v>90</v>
      </c>
      <c r="C78">
        <v>100</v>
      </c>
      <c r="D78" t="s">
        <v>46</v>
      </c>
      <c r="E78">
        <f>((B78/A78)-1)/C78</f>
        <v>3.6363636363636355E-3</v>
      </c>
    </row>
    <row r="79" spans="1:5" x14ac:dyDescent="0.35">
      <c r="A79">
        <v>98</v>
      </c>
      <c r="B79">
        <v>155</v>
      </c>
      <c r="C79">
        <v>180</v>
      </c>
      <c r="D79" t="s">
        <v>46</v>
      </c>
      <c r="E79">
        <f>((B79/A79)-1)/C79</f>
        <v>3.231292517006803E-3</v>
      </c>
    </row>
    <row r="80" spans="1:5" x14ac:dyDescent="0.35">
      <c r="A80">
        <v>46</v>
      </c>
      <c r="B80">
        <v>92</v>
      </c>
      <c r="C80">
        <v>21</v>
      </c>
      <c r="D80" t="s">
        <v>46</v>
      </c>
      <c r="E80">
        <f>((B80/A80)-1)/C80</f>
        <v>4.7619047619047616E-2</v>
      </c>
    </row>
    <row r="81" spans="1:5" x14ac:dyDescent="0.35">
      <c r="A81">
        <v>33</v>
      </c>
      <c r="B81">
        <v>55</v>
      </c>
      <c r="C81">
        <v>30</v>
      </c>
      <c r="D81" t="s">
        <v>46</v>
      </c>
      <c r="E81">
        <f>((B81/A81)-1)/C81</f>
        <v>2.2222222222222223E-2</v>
      </c>
    </row>
    <row r="82" spans="1:5" x14ac:dyDescent="0.35">
      <c r="A82">
        <v>32</v>
      </c>
      <c r="B82">
        <v>64</v>
      </c>
      <c r="C82">
        <v>14</v>
      </c>
      <c r="D82" t="s">
        <v>46</v>
      </c>
      <c r="E82">
        <f>((B82/A82)-1)/C82</f>
        <v>7.1428571428571425E-2</v>
      </c>
    </row>
    <row r="83" spans="1:5" x14ac:dyDescent="0.35">
      <c r="A83">
        <v>45</v>
      </c>
      <c r="B83">
        <v>72</v>
      </c>
      <c r="C83">
        <v>55</v>
      </c>
      <c r="D83" t="s">
        <v>46</v>
      </c>
      <c r="E83">
        <f>((B83/A83)-1)/C83</f>
        <v>1.090909090909091E-2</v>
      </c>
    </row>
    <row r="84" spans="1:5" x14ac:dyDescent="0.35">
      <c r="A84">
        <v>58</v>
      </c>
      <c r="B84">
        <v>82</v>
      </c>
      <c r="C84">
        <v>80</v>
      </c>
      <c r="D84" t="s">
        <v>46</v>
      </c>
      <c r="E84">
        <f>((B84/A84)-1)/C84</f>
        <v>5.1724137931034473E-3</v>
      </c>
    </row>
    <row r="85" spans="1:5" x14ac:dyDescent="0.35">
      <c r="A85">
        <v>44</v>
      </c>
      <c r="B85">
        <v>88</v>
      </c>
      <c r="C85">
        <v>20</v>
      </c>
      <c r="D85" t="s">
        <v>46</v>
      </c>
      <c r="E85">
        <f>((B85/A85)-1)/C85</f>
        <v>0.05</v>
      </c>
    </row>
    <row r="86" spans="1:5" x14ac:dyDescent="0.35">
      <c r="A86">
        <v>92</v>
      </c>
      <c r="B86">
        <v>140</v>
      </c>
      <c r="C86">
        <v>165</v>
      </c>
      <c r="D86" t="s">
        <v>46</v>
      </c>
      <c r="E86">
        <f>((B86/A86)-1)/C86</f>
        <v>3.1620553359683798E-3</v>
      </c>
    </row>
    <row r="87" spans="1:5" x14ac:dyDescent="0.35">
      <c r="A87">
        <v>64</v>
      </c>
      <c r="B87">
        <v>135</v>
      </c>
      <c r="C87">
        <v>30</v>
      </c>
      <c r="D87" t="s">
        <v>46</v>
      </c>
      <c r="E87">
        <f>((B87/A87)-1)/C87</f>
        <v>3.6979166666666667E-2</v>
      </c>
    </row>
    <row r="88" spans="1:5" x14ac:dyDescent="0.35">
      <c r="A88">
        <v>49</v>
      </c>
      <c r="B88">
        <v>60</v>
      </c>
      <c r="C88">
        <v>89</v>
      </c>
      <c r="D88" t="s">
        <v>46</v>
      </c>
      <c r="E88">
        <f>((B88/A88)-1)/C88</f>
        <v>2.522357257509746E-3</v>
      </c>
    </row>
    <row r="89" spans="1:5" x14ac:dyDescent="0.35">
      <c r="A89">
        <v>78</v>
      </c>
      <c r="B89">
        <v>105</v>
      </c>
      <c r="C89">
        <v>130</v>
      </c>
      <c r="D89" t="s">
        <v>46</v>
      </c>
      <c r="E89">
        <f>((B89/A89)-1)/C89</f>
        <v>2.6627218934911251E-3</v>
      </c>
    </row>
    <row r="90" spans="1:5" x14ac:dyDescent="0.35">
      <c r="A90">
        <v>62</v>
      </c>
      <c r="B90">
        <v>86</v>
      </c>
      <c r="C90">
        <v>90</v>
      </c>
      <c r="D90" t="s">
        <v>46</v>
      </c>
      <c r="E90">
        <f>((B90/A90)-1)/C90</f>
        <v>4.3010752688172052E-3</v>
      </c>
    </row>
    <row r="91" spans="1:5" x14ac:dyDescent="0.35">
      <c r="A91">
        <v>82</v>
      </c>
      <c r="B91">
        <v>115</v>
      </c>
      <c r="C91">
        <v>140</v>
      </c>
      <c r="D91" t="s">
        <v>46</v>
      </c>
      <c r="E91">
        <f>((B91/A91)-1)/C91</f>
        <v>2.874564459930313E-3</v>
      </c>
    </row>
    <row r="92" spans="1:5" x14ac:dyDescent="0.35">
      <c r="A92">
        <v>100</v>
      </c>
      <c r="B92">
        <v>160</v>
      </c>
      <c r="C92">
        <v>185</v>
      </c>
      <c r="D92" t="s">
        <v>46</v>
      </c>
      <c r="E92">
        <f>((B92/A92)-1)/C92</f>
        <v>3.2432432432432435E-3</v>
      </c>
    </row>
    <row r="93" spans="1:5" x14ac:dyDescent="0.35">
      <c r="A93">
        <v>54</v>
      </c>
      <c r="B93">
        <v>110</v>
      </c>
      <c r="C93">
        <v>25</v>
      </c>
      <c r="D93" t="s">
        <v>46</v>
      </c>
      <c r="E93">
        <f>((B93/A93)-1)/C93</f>
        <v>4.1481481481481487E-2</v>
      </c>
    </row>
    <row r="94" spans="1:5" x14ac:dyDescent="0.35">
      <c r="A94">
        <v>42</v>
      </c>
      <c r="B94">
        <v>70</v>
      </c>
      <c r="C94">
        <v>50</v>
      </c>
      <c r="D94" t="s">
        <v>46</v>
      </c>
      <c r="E94">
        <f>((B94/A94)-1)/C94</f>
        <v>1.3333333333333334E-2</v>
      </c>
    </row>
    <row r="95" spans="1:5" x14ac:dyDescent="0.35">
      <c r="A95">
        <v>74</v>
      </c>
      <c r="B95">
        <v>98</v>
      </c>
      <c r="C95">
        <v>120</v>
      </c>
      <c r="D95" t="s">
        <v>46</v>
      </c>
      <c r="E95">
        <f>((B95/A95)-1)/C95</f>
        <v>2.7027027027027029E-3</v>
      </c>
    </row>
    <row r="96" spans="1:5" x14ac:dyDescent="0.35">
      <c r="A96">
        <v>84</v>
      </c>
      <c r="B96">
        <v>120</v>
      </c>
      <c r="C96">
        <v>145</v>
      </c>
      <c r="D96" t="s">
        <v>46</v>
      </c>
      <c r="E96">
        <f>((B96/A96)-1)/C96</f>
        <v>2.9556650246305421E-3</v>
      </c>
    </row>
    <row r="97" spans="1:5" x14ac:dyDescent="0.35">
      <c r="A97">
        <v>76</v>
      </c>
      <c r="B97">
        <v>100</v>
      </c>
      <c r="C97">
        <v>125</v>
      </c>
      <c r="D97" t="s">
        <v>46</v>
      </c>
      <c r="E97">
        <f>((B97/A97)-1)/C97</f>
        <v>2.5263157894736851E-3</v>
      </c>
    </row>
    <row r="98" spans="1:5" x14ac:dyDescent="0.35">
      <c r="A98">
        <v>50</v>
      </c>
      <c r="B98">
        <v>76</v>
      </c>
      <c r="C98">
        <v>65</v>
      </c>
      <c r="D98" t="s">
        <v>46</v>
      </c>
      <c r="E98">
        <f>((B98/A98)-1)/C98</f>
        <v>8.0000000000000002E-3</v>
      </c>
    </row>
    <row r="99" spans="1:5" x14ac:dyDescent="0.35">
      <c r="A99">
        <v>90</v>
      </c>
      <c r="B99">
        <v>135</v>
      </c>
      <c r="C99">
        <v>160</v>
      </c>
      <c r="D99" t="s">
        <v>46</v>
      </c>
      <c r="E99">
        <f>((B99/A99)-1)/C99</f>
        <v>3.1250000000000002E-3</v>
      </c>
    </row>
    <row r="100" spans="1:5" x14ac:dyDescent="0.35">
      <c r="A100">
        <v>42</v>
      </c>
      <c r="B100">
        <v>84</v>
      </c>
      <c r="C100">
        <v>19</v>
      </c>
      <c r="D100" t="s">
        <v>46</v>
      </c>
      <c r="E100">
        <f>((B100/A100)-1)/C100</f>
        <v>5.2631578947368418E-2</v>
      </c>
    </row>
    <row r="101" spans="1:5" x14ac:dyDescent="0.35">
      <c r="A101">
        <v>70</v>
      </c>
      <c r="B101">
        <v>94</v>
      </c>
      <c r="C101">
        <v>110</v>
      </c>
      <c r="D101" t="s">
        <v>46</v>
      </c>
      <c r="E101">
        <f>((B101/A101)-1)/C101</f>
        <v>3.116883116883116E-3</v>
      </c>
    </row>
  </sheetData>
  <sortState xmlns:xlrd2="http://schemas.microsoft.com/office/spreadsheetml/2017/richdata2" ref="A2:E103">
    <sortCondition ref="D1:D10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p2_Delay Discounting_2025-11-02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2025-11-05T06:13:32Z</dcterms:created>
  <dcterms:modified xsi:type="dcterms:W3CDTF">2025-11-05T16:05:43Z</dcterms:modified>
</cp:coreProperties>
</file>