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Visual Search Task(new)\data\"/>
    </mc:Choice>
  </mc:AlternateContent>
  <xr:revisionPtr revIDLastSave="0" documentId="13_ncr:9_{04DE4F14-F5EF-40F2-9312-5E2BC6AF02D1}" xr6:coauthVersionLast="47" xr6:coauthVersionMax="47" xr10:uidLastSave="{00000000-0000-0000-0000-000000000000}"/>
  <bookViews>
    <workbookView xWindow="-90" yWindow="0" windowWidth="9780" windowHeight="10170" activeTab="1" xr2:uid="{FC27E68C-1100-42C8-B04C-B98988C95587}"/>
  </bookViews>
  <sheets>
    <sheet name="P5_VST_2025-09-28_18h44.52.555" sheetId="1" r:id="rId1"/>
    <sheet name="Analysis" sheetId="2" r:id="rId2"/>
    <sheet name="Grand Analysis" sheetId="3" r:id="rId3"/>
  </sheets>
  <calcPr calcId="0"/>
</workbook>
</file>

<file path=xl/calcChain.xml><?xml version="1.0" encoding="utf-8"?>
<calcChain xmlns="http://schemas.openxmlformats.org/spreadsheetml/2006/main">
  <c r="J20" i="2" l="1"/>
  <c r="J19" i="2"/>
  <c r="J17" i="2"/>
  <c r="J16" i="2"/>
  <c r="J12" i="2"/>
  <c r="J11" i="2"/>
</calcChain>
</file>

<file path=xl/sharedStrings.xml><?xml version="1.0" encoding="utf-8"?>
<sst xmlns="http://schemas.openxmlformats.org/spreadsheetml/2006/main" count="4467" uniqueCount="607">
  <si>
    <t>thisN</t>
  </si>
  <si>
    <t>thisTrialN</t>
  </si>
  <si>
    <t>thisRepN</t>
  </si>
  <si>
    <t>mouse_resp.x</t>
  </si>
  <si>
    <t>mouse_resp.y</t>
  </si>
  <si>
    <t>mouse_resp.leftButton</t>
  </si>
  <si>
    <t>mouse_resp.midButton</t>
  </si>
  <si>
    <t>mouse_resp.rightButton</t>
  </si>
  <si>
    <t>mouse_resp.time</t>
  </si>
  <si>
    <t>mouse_resp.clicked_name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</si>
  <si>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</si>
  <si>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</si>
  <si>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</si>
  <si>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</si>
  <si>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</si>
  <si>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</si>
  <si>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</si>
  <si>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</si>
  <si>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</si>
  <si>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</si>
  <si>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num_distr</t>
  </si>
  <si>
    <t>trial.started</t>
  </si>
  <si>
    <t>Fixation.started</t>
  </si>
  <si>
    <t>target.started</t>
  </si>
  <si>
    <t>mouse_resp.started</t>
  </si>
  <si>
    <t>trial.stopped</t>
  </si>
  <si>
    <t>trials.mouse_resp.x</t>
  </si>
  <si>
    <t>trials.mouse_resp.y</t>
  </si>
  <si>
    <t>trials.mouse_resp.leftButton</t>
  </si>
  <si>
    <t>trials.mouse_resp.midButton</t>
  </si>
  <si>
    <t>trials.mouse_resp.rightButton</t>
  </si>
  <si>
    <t>trials.mouse_resp.time</t>
  </si>
  <si>
    <t>trials.mouse_resp.clicked_name</t>
  </si>
  <si>
    <t>Goodbye_Screen.started</t>
  </si>
  <si>
    <t>GoodbyeScreen.started</t>
  </si>
  <si>
    <t>GoodbyeScreen.stopped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</si>
  <si>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</si>
  <si>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</si>
  <si>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</si>
  <si>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</si>
  <si>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</si>
  <si>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</si>
  <si>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</si>
  <si>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</si>
  <si>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</si>
  <si>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P5</t>
  </si>
  <si>
    <t>2025-09-28_18h44.52.555</t>
  </si>
  <si>
    <t>VST</t>
  </si>
  <si>
    <t>2025.1.1</t>
  </si>
  <si>
    <t>2025-09-28 18h45.08.874335 +0530</t>
  </si>
  <si>
    <t>[np.float64(0.025)]</t>
  </si>
  <si>
    <t>[np.float64(-0.2851851851851852)]</t>
  </si>
  <si>
    <t>[1]</t>
  </si>
  <si>
    <t>[0]</t>
  </si>
  <si>
    <t>[4.23616289999336]</t>
  </si>
  <si>
    <t>['target']</t>
  </si>
  <si>
    <t>[np.float64(-0.007407407407407408), np.float64(-0.42314814814814816)]</t>
  </si>
  <si>
    <t>[np.float64(-0.08148148148148149), np.float64(0.1787037037037037)]</t>
  </si>
  <si>
    <t>[1, 1]</t>
  </si>
  <si>
    <t>[0, 0]</t>
  </si>
  <si>
    <t>[1.5739123999956064, 4.990103899996029]</t>
  </si>
  <si>
    <t>[None, 'target']</t>
  </si>
  <si>
    <t>[np.float64(-0.20833333333333334)]</t>
  </si>
  <si>
    <t>[np.float64(0.23425925925925925)]</t>
  </si>
  <si>
    <t>[1.431437699997332]</t>
  </si>
  <si>
    <t>[np.float64(-0.2)]</t>
  </si>
  <si>
    <t>[np.float64(0.08333333333333333)]</t>
  </si>
  <si>
    <t>[1.0577668999903835]</t>
  </si>
  <si>
    <t>[np.float64(-0.025)]</t>
  </si>
  <si>
    <t>[np.float64(0.3194444444444444)]</t>
  </si>
  <si>
    <t>[1.232081099995412]</t>
  </si>
  <si>
    <t>[np.float64(-0.003703703703703704)]</t>
  </si>
  <si>
    <t>[np.float64(-0.32592592592592595)]</t>
  </si>
  <si>
    <t>[1.9561306000105105]</t>
  </si>
  <si>
    <t>[np.float64(0.18425925925925926)]</t>
  </si>
  <si>
    <t>[np.float64(-0.13518518518518519)]</t>
  </si>
  <si>
    <t>[1.2811607999901753]</t>
  </si>
  <si>
    <t>[np.float64(-0.21851851851851853)]</t>
  </si>
  <si>
    <t>[np.float64(0.17314814814814813)]</t>
  </si>
  <si>
    <t>[1.2265890999988187]</t>
  </si>
  <si>
    <t>[np.float64(-0.38425925925925924)]</t>
  </si>
  <si>
    <t>[np.float64(-0.2833333333333333)]</t>
  </si>
  <si>
    <t>[1.5654312999977265]</t>
  </si>
  <si>
    <t>[np.float64(0.19907407407407407)]</t>
  </si>
  <si>
    <t>[np.float64(-0.014814814814814815)]</t>
  </si>
  <si>
    <t>[1.338670600001933]</t>
  </si>
  <si>
    <t>[np.float64(0.23981481481481481)]</t>
  </si>
  <si>
    <t>[np.float64(-0.2175925925925926)]</t>
  </si>
  <si>
    <t>[1.3569544999918435]</t>
  </si>
  <si>
    <t>[np.float64(0.28888888888888886)]</t>
  </si>
  <si>
    <t>[np.float64(-0.08796296296296297)]</t>
  </si>
  <si>
    <t>[1.0918352000007872]</t>
  </si>
  <si>
    <t>[np.float64(0.41203703703703703), np.float64(0.43148148148148147)]</t>
  </si>
  <si>
    <t>[np.float64(-0.4388888888888889), np.float64(-0.42962962962962964)]</t>
  </si>
  <si>
    <t>[1.7034888000052888, 2.7386207000236027]</t>
  </si>
  <si>
    <t>[np.float64(0.125)]</t>
  </si>
  <si>
    <t>[np.float64(-0.41388888888888886)]</t>
  </si>
  <si>
    <t>[1.2671526000194717]</t>
  </si>
  <si>
    <t>[np.float64(-0.38796296296296295)]</t>
  </si>
  <si>
    <t>[np.float64(0.28425925925925927)]</t>
  </si>
  <si>
    <t>[1.469909599982202]</t>
  </si>
  <si>
    <t>[np.float64(-0.046296296296296294)]</t>
  </si>
  <si>
    <t>[np.float64(0.46574074074074073)]</t>
  </si>
  <si>
    <t>[1.235913900018204]</t>
  </si>
  <si>
    <t>[np.float64(0.3851851851851852)]</t>
  </si>
  <si>
    <t>[np.float64(-0.34444444444444444)]</t>
  </si>
  <si>
    <t>[1.3925919999892358]</t>
  </si>
  <si>
    <t>[np.float64(-0.09444444444444444)]</t>
  </si>
  <si>
    <t>[np.float64(0.2916666666666667)]</t>
  </si>
  <si>
    <t>[1.148094799980754]</t>
  </si>
  <si>
    <t>[np.float64(0.009259259259259259)]</t>
  </si>
  <si>
    <t>[np.float64(-0.2675925925925926)]</t>
  </si>
  <si>
    <t>[1.02479699999094]</t>
  </si>
  <si>
    <t>[np.float64(-0.3138888888888889)]</t>
  </si>
  <si>
    <t>[np.float64(-0.21481481481481482)]</t>
  </si>
  <si>
    <t>[1.3514262000098825]</t>
  </si>
  <si>
    <t>[np.float64(-0.17222222222222222)]</t>
  </si>
  <si>
    <t>[np.float64(-0.4388888888888889)]</t>
  </si>
  <si>
    <t>[1.542241200018907]</t>
  </si>
  <si>
    <t>[np.float64(0.36944444444444446)]</t>
  </si>
  <si>
    <t>[np.float64(-0.412962962962963)]</t>
  </si>
  <si>
    <t>[1.18586990001495]</t>
  </si>
  <si>
    <t>[np.float64(-0.18425925925925926)]</t>
  </si>
  <si>
    <t>[np.float64(0.010185185185185186)]</t>
  </si>
  <si>
    <t>[1.205361600004835]</t>
  </si>
  <si>
    <t>[np.float64(-0.45925925925925926)]</t>
  </si>
  <si>
    <t>[np.float64(0.4722222222222222)]</t>
  </si>
  <si>
    <t>[1.8320658000011463]</t>
  </si>
  <si>
    <t>[np.float64(-0.175), np.float64(-0.2064814814814815)]</t>
  </si>
  <si>
    <t>[np.float64(-0.36574074074074076), np.float64(-0.3425925925925926)]</t>
  </si>
  <si>
    <t>[1.9269460999930743, 2.6753787999914493]</t>
  </si>
  <si>
    <t>[np.float64(-0.05)]</t>
  </si>
  <si>
    <t>[np.float64(0.33240740740740743)]</t>
  </si>
  <si>
    <t>[1.4361076999921352]</t>
  </si>
  <si>
    <t>[np.float64(-0.05185185185185185)]</t>
  </si>
  <si>
    <t>[np.float64(-0.09722222222222222)]</t>
  </si>
  <si>
    <t>[1.162982000008924]</t>
  </si>
  <si>
    <t>[np.float64(-0.14351851851851852)]</t>
  </si>
  <si>
    <t>[np.float64(0.11666666666666667)]</t>
  </si>
  <si>
    <t>[1.089001999993343]</t>
  </si>
  <si>
    <t>[np.float64(-0.4064814814814815)]</t>
  </si>
  <si>
    <t>[np.float64(-0.18703703703703703)]</t>
  </si>
  <si>
    <t>[1.234938300010981]</t>
  </si>
  <si>
    <t>[np.float64(0.18981481481481483)]</t>
  </si>
  <si>
    <t>[np.float64(-0.32314814814814813)]</t>
  </si>
  <si>
    <t>[1.8655310999893118]</t>
  </si>
  <si>
    <t>[np.float64(0.05)]</t>
  </si>
  <si>
    <t>[np.float64(-0.25833333333333336)]</t>
  </si>
  <si>
    <t>[0.9567422000109218]</t>
  </si>
  <si>
    <t>[np.float64(-0.26296296296296295)]</t>
  </si>
  <si>
    <t>[np.float64(0.3101851851851852)]</t>
  </si>
  <si>
    <t>[1.382455300015863]</t>
  </si>
  <si>
    <t>[np.float64(-0.1537037037037037)]</t>
  </si>
  <si>
    <t>[np.float64(-0.02962962962962963)]</t>
  </si>
  <si>
    <t>[1.30184180001379]</t>
  </si>
  <si>
    <t>[np.float64(-0.32407407407407407)]</t>
  </si>
  <si>
    <t>[np.float64(-0.05555555555555555)]</t>
  </si>
  <si>
    <t>[1.130899000010686]</t>
  </si>
  <si>
    <t>[np.float64(0.30277777777777776)]</t>
  </si>
  <si>
    <t>[np.float64(0.22037037037037038)]</t>
  </si>
  <si>
    <t>[1.2590847000246868]</t>
  </si>
  <si>
    <t>[np.float64(0.24444444444444444)]</t>
  </si>
  <si>
    <t>[np.float64(-0.20185185185185187)]</t>
  </si>
  <si>
    <t>[1.0374689000018407]</t>
  </si>
  <si>
    <t>[np.float64(-0.4324074074074074), np.float64(-0.45)]</t>
  </si>
  <si>
    <t>[np.float64(-0.42777777777777776), np.float64(-0.42962962962962964)]</t>
  </si>
  <si>
    <t>[1.446436400001403, 2.081458600005135]</t>
  </si>
  <si>
    <t>[np.float64(-0.011111111111111112)]</t>
  </si>
  <si>
    <t>[np.float64(-0.15185185185185185)]</t>
  </si>
  <si>
    <t>[1.389662200002931]</t>
  </si>
  <si>
    <t>[np.float64(0.03888888888888889)]</t>
  </si>
  <si>
    <t>[np.float64(-0.020370370370370372)]</t>
  </si>
  <si>
    <t>[1.2801710999920033]</t>
  </si>
  <si>
    <t>[np.float64(0.23796296296296296)]</t>
  </si>
  <si>
    <t>[np.float64(0.44722222222222224)]</t>
  </si>
  <si>
    <t>[2.2518433000077493]</t>
  </si>
  <si>
    <t>[np.float64(-0.05092592592592592)]</t>
  </si>
  <si>
    <t>[np.float64(0.49537037037037035)]</t>
  </si>
  <si>
    <t>[4.169714700023178]</t>
  </si>
  <si>
    <t>[np.float64(-0.40555555555555556)]</t>
  </si>
  <si>
    <t>[np.float64(-0.39166666666666666)]</t>
  </si>
  <si>
    <t>[1.6970719000091776]</t>
  </si>
  <si>
    <t>[np.float64(-0.46574074074074073)]</t>
  </si>
  <si>
    <t>[np.float64(0.34814814814814815)]</t>
  </si>
  <si>
    <t>[1.4527380999934394]</t>
  </si>
  <si>
    <t>[np.float64(0.35555555555555557)]</t>
  </si>
  <si>
    <t>[np.float64(-0.17592592592592593)]</t>
  </si>
  <si>
    <t>[1.3697004999849014]</t>
  </si>
  <si>
    <t>[np.float64(0.18703703703703703)]</t>
  </si>
  <si>
    <t>[1.2880675999913365]</t>
  </si>
  <si>
    <t>[np.float64(-0.03796296296296296)]</t>
  </si>
  <si>
    <t>[np.float64(0.017592592592592594)]</t>
  </si>
  <si>
    <t>[1.1827833999996074]</t>
  </si>
  <si>
    <t>[np.float64(-0.20277777777777778)]</t>
  </si>
  <si>
    <t>[np.float64(0.4287037037037037)]</t>
  </si>
  <si>
    <t>[1.097496600006707]</t>
  </si>
  <si>
    <t>[np.float64(-0.4212962962962963), np.float64(-0.4361111111111111)]</t>
  </si>
  <si>
    <t>[np.float64(-0.4148148148148148), np.float64(-0.39814814814814814)]</t>
  </si>
  <si>
    <t>[1.4617628999985754, 2.294173000002047]</t>
  </si>
  <si>
    <t>[np.float64(-0.012962962962962963)]</t>
  </si>
  <si>
    <t>[np.float64(0.12222222222222222)]</t>
  </si>
  <si>
    <t>[1.4761996000015642]</t>
  </si>
  <si>
    <t>[np.float64(-0.1675925925925926)]</t>
  </si>
  <si>
    <t>[np.float64(-0.175)]</t>
  </si>
  <si>
    <t>[1.2266639999870677]</t>
  </si>
  <si>
    <t>[np.float64(-0.06388888888888888)]</t>
  </si>
  <si>
    <t>[np.float64(-0.44351851851851853)]</t>
  </si>
  <si>
    <t>[1.8111028000130318]</t>
  </si>
  <si>
    <t>[np.float64(0.25833333333333336)]</t>
  </si>
  <si>
    <t>[np.float64(-0.22592592592592592)]</t>
  </si>
  <si>
    <t>[1.0855829000065569]</t>
  </si>
  <si>
    <t>[np.float64(-0.39351851851851855)]</t>
  </si>
  <si>
    <t>[1.2145276000082958]</t>
  </si>
  <si>
    <t>[np.float64(0.45185185185185184)]</t>
  </si>
  <si>
    <t>[1.6574710000131745]</t>
  </si>
  <si>
    <t>[2.5667174000118393]</t>
  </si>
  <si>
    <t>[np.float64(0.362962962962963)]</t>
  </si>
  <si>
    <t>[np.float64(0.48055555555555557)]</t>
  </si>
  <si>
    <t>[1.8300199000223074]</t>
  </si>
  <si>
    <t>[np.float64(-0.11481481481481481)]</t>
  </si>
  <si>
    <t>[np.float64(0.02962962962962963)]</t>
  </si>
  <si>
    <t>[1.2815234000154305]</t>
  </si>
  <si>
    <t>[np.float64(0.12037037037037036)]</t>
  </si>
  <si>
    <t>[np.float64(-0.1787037037037037)]</t>
  </si>
  <si>
    <t>[1.2212618000048678]</t>
  </si>
  <si>
    <t>[np.float64(0.06296296296296296)]</t>
  </si>
  <si>
    <t>[np.float64(-0.275)]</t>
  </si>
  <si>
    <t>[1.0130332999979146]</t>
  </si>
  <si>
    <t>[np.float64(0.13796296296296295)]</t>
  </si>
  <si>
    <t>[np.float64(0.49166666666666664)]</t>
  </si>
  <si>
    <t>[1.2744777999760117]</t>
  </si>
  <si>
    <t>[np.float64(-0.3296296296296296)]</t>
  </si>
  <si>
    <t>[np.float64(-0.4212962962962963)]</t>
  </si>
  <si>
    <t>[1.4402526000048965]</t>
  </si>
  <si>
    <t>[np.float64(0.13796296296296295), np.float64(0.16574074074074074)]</t>
  </si>
  <si>
    <t>[np.float64(-0.4564814814814815), np.float64(-0.4583333333333333)]</t>
  </si>
  <si>
    <t>[1.2912262000027113, 2.205918100022245]</t>
  </si>
  <si>
    <t>[np.float64(-0.05277777777777778)]</t>
  </si>
  <si>
    <t>[1.330935000005411]</t>
  </si>
  <si>
    <t>[np.float64(0.2212962962962963)]</t>
  </si>
  <si>
    <t>[np.float64(0.15185185185185185)]</t>
  </si>
  <si>
    <t>[1.1565381000109483]</t>
  </si>
  <si>
    <t>[np.float64(-0.11203703703703703)]</t>
  </si>
  <si>
    <t>[np.float64(-0.1259259259259259)]</t>
  </si>
  <si>
    <t>[1.1461899999994785]</t>
  </si>
  <si>
    <t>[np.float64(-0.3037037037037037)]</t>
  </si>
  <si>
    <t>[np.float64(0.1648148148148148)]</t>
  </si>
  <si>
    <t>[1.2700607999868225]</t>
  </si>
  <si>
    <t>[np.float64(0.2)]</t>
  </si>
  <si>
    <t>[np.float64(0.40185185185185185)]</t>
  </si>
  <si>
    <t>[1.6235143000085372]</t>
  </si>
  <si>
    <t>[np.float64(-0.337037037037037)]</t>
  </si>
  <si>
    <t>[1.8087991999927908]</t>
  </si>
  <si>
    <t>[np.float64(0.39444444444444443)]</t>
  </si>
  <si>
    <t>[np.float64(0.0824074074074074)]</t>
  </si>
  <si>
    <t>[1.5181901000032667]</t>
  </si>
  <si>
    <t>[np.float64(0.21481481481481482)]</t>
  </si>
  <si>
    <t>[np.float64(0.1638888888888889)]</t>
  </si>
  <si>
    <t>[1.1441916000039782]</t>
  </si>
  <si>
    <t>[np.float64(-0.17685185185185184)]</t>
  </si>
  <si>
    <t>[np.float64(0.1574074074074074)]</t>
  </si>
  <si>
    <t>[1.3103435999946669]</t>
  </si>
  <si>
    <t>[np.float64(0.44166666666666665)]</t>
  </si>
  <si>
    <t>[1.3237910000025295]</t>
  </si>
  <si>
    <t>[np.float64(-0.24259259259259258)]</t>
  </si>
  <si>
    <t>[1.3030456000124104]</t>
  </si>
  <si>
    <t>[np.float64(0.41759259259259257)]</t>
  </si>
  <si>
    <t>[np.float64(0.09537037037037037)]</t>
  </si>
  <si>
    <t>[1.3198445999878459]</t>
  </si>
  <si>
    <t>[np.float64(0.11574074074074074)]</t>
  </si>
  <si>
    <t>[np.float64(-0.35833333333333334)]</t>
  </si>
  <si>
    <t>[1.628232199989725]</t>
  </si>
  <si>
    <t>[np.float64(0.3351851851851852), np.float64(0.31203703703703706)]</t>
  </si>
  <si>
    <t>[np.float64(-0.1175925925925926), np.float64(-0.10555555555555556)]</t>
  </si>
  <si>
    <t>[1.2088925999996718, 1.8553963000013027]</t>
  </si>
  <si>
    <t>[np.float64(0.1361111111111111)]</t>
  </si>
  <si>
    <t>[np.float64(0.16111111111111112)]</t>
  </si>
  <si>
    <t>[1.2754509000224061]</t>
  </si>
  <si>
    <t>[np.float64(0.06666666666666667), np.float64(-0.03611111111111111)]</t>
  </si>
  <si>
    <t>[np.float64(-0.22037037037037038), np.float64(-0.39166666666666666)]</t>
  </si>
  <si>
    <t>[0.7790556999971159, 1.861173899989808]</t>
  </si>
  <si>
    <t>[np.float64(-0.3861111111111111)]</t>
  </si>
  <si>
    <t>[np.float64(-0.06851851851851852)]</t>
  </si>
  <si>
    <t>[1.2853533999877982]</t>
  </si>
  <si>
    <t>[np.float64(0.2361111111111111)]</t>
  </si>
  <si>
    <t>[np.float64(-0.23425925925925925)]</t>
  </si>
  <si>
    <t>[1.1894267999741714]</t>
  </si>
  <si>
    <t>[np.float64(0.31851851851851853)]</t>
  </si>
  <si>
    <t>[np.float64(0.47685185185185186)]</t>
  </si>
  <si>
    <t>[1.3712215000123251]</t>
  </si>
  <si>
    <t>[np.float64(-0.0824074074074074)]</t>
  </si>
  <si>
    <t>[np.float64(0.4925925925925926)]</t>
  </si>
  <si>
    <t>[1.4838403000030667]</t>
  </si>
  <si>
    <t>[np.float64(0.4074074074074074)]</t>
  </si>
  <si>
    <t>[np.float64(0.20092592592592592)]</t>
  </si>
  <si>
    <t>[1.5759095000103116]</t>
  </si>
  <si>
    <t>[np.float64(-0.44166666666666665)]</t>
  </si>
  <si>
    <t>[np.float64(0.10462962962962963)]</t>
  </si>
  <si>
    <t>[1.5388500000117347]</t>
  </si>
  <si>
    <t>[np.float64(-0.24722222222222223)]</t>
  </si>
  <si>
    <t>[np.float64(-0.27685185185185185)]</t>
  </si>
  <si>
    <t>[1.1257161000103224]</t>
  </si>
  <si>
    <t>[np.float64(-0.1175925925925926)]</t>
  </si>
  <si>
    <t>[np.float64(0.33796296296296297)]</t>
  </si>
  <si>
    <t>[1.880668500001775]</t>
  </si>
  <si>
    <t>[np.float64(0.3648148148148148)]</t>
  </si>
  <si>
    <t>[np.float64(-0.30277777777777776)]</t>
  </si>
  <si>
    <t>[1.5145820000034291]</t>
  </si>
  <si>
    <t>[np.float64(-0.225)]</t>
  </si>
  <si>
    <t>[np.float64(-0.10185185185185185)]</t>
  </si>
  <si>
    <t>[1.3900902000023052]</t>
  </si>
  <si>
    <t>[np.float64(0.25555555555555554)]</t>
  </si>
  <si>
    <t>[np.float64(0.38333333333333336)]</t>
  </si>
  <si>
    <t>[1.461693799996283]</t>
  </si>
  <si>
    <t>[np.float64(-0.45185185185185184)]</t>
  </si>
  <si>
    <t>[np.float64(0.049074074074074076)]</t>
  </si>
  <si>
    <t>[1.1617560000158846]</t>
  </si>
  <si>
    <t>[np.float64(0.32685185185185184)]</t>
  </si>
  <si>
    <t>[np.float64(-0.4601851851851852)]</t>
  </si>
  <si>
    <t>[1.8539923999924213]</t>
  </si>
  <si>
    <t>[np.float64(0.062037037037037036)]</t>
  </si>
  <si>
    <t>[np.float64(0.14722222222222223)]</t>
  </si>
  <si>
    <t>[1.330986600019969]</t>
  </si>
  <si>
    <t>[np.float64(0.3685185185185185), np.float64(0.38981481481481484)]</t>
  </si>
  <si>
    <t>[np.float64(-0.21944444444444444), np.float64(-0.21574074074074073)]</t>
  </si>
  <si>
    <t>[1.4068703999801073, 2.1249943999864627]</t>
  </si>
  <si>
    <t>[1.4961271999927703]</t>
  </si>
  <si>
    <t>[np.float64(-0.016666666666666666)]</t>
  </si>
  <si>
    <t>[np.float64(0.3074074074074074)]</t>
  </si>
  <si>
    <t>[1.175663000001805]</t>
  </si>
  <si>
    <t>[np.float64(-0.26851851851851855)]</t>
  </si>
  <si>
    <t>[np.float64(-0.21666666666666667)]</t>
  </si>
  <si>
    <t>[1.4740981000068132]</t>
  </si>
  <si>
    <t>[np.float64(0.030555555555555555)]</t>
  </si>
  <si>
    <t>[1.1670489000098314]</t>
  </si>
  <si>
    <t>[np.float64(0.08425925925925926)]</t>
  </si>
  <si>
    <t>[np.float64(0.05648148148148148)]</t>
  </si>
  <si>
    <t>[1.0655077999981586]</t>
  </si>
  <si>
    <t>[np.float64(0.05555555555555555)]</t>
  </si>
  <si>
    <t>[np.float64(-0.32037037037037036)]</t>
  </si>
  <si>
    <t>[1.7415885000082199]</t>
  </si>
  <si>
    <t>[np.float64(0.36018518518518516)]</t>
  </si>
  <si>
    <t>[np.float64(0.08611111111111111)]</t>
  </si>
  <si>
    <t>[1.4638586000073701]</t>
  </si>
  <si>
    <t>[np.float64(0.3)]</t>
  </si>
  <si>
    <t>[np.float64(-0.4222222222222222)]</t>
  </si>
  <si>
    <t>[1.3369706000084989]</t>
  </si>
  <si>
    <t>[np.float64(-0.11296296296296296)]</t>
  </si>
  <si>
    <t>[1.1828897999948822]</t>
  </si>
  <si>
    <t>[np.float64(0.037037037037037035)]</t>
  </si>
  <si>
    <t>[np.float64(-0.4074074074074074)]</t>
  </si>
  <si>
    <t>[1.4314459000015631]</t>
  </si>
  <si>
    <t>[np.float64(-0.04537037037037037)]</t>
  </si>
  <si>
    <t>[1.2602031999849714]</t>
  </si>
  <si>
    <t>[np.float64(0.0)]</t>
  </si>
  <si>
    <t>[1.3557386999891605]</t>
  </si>
  <si>
    <t>[np.float64(0.23703703703703705)]</t>
  </si>
  <si>
    <t>[np.float64(0.30092592592592593)]</t>
  </si>
  <si>
    <t>[1.5802368999866303]</t>
  </si>
  <si>
    <t>[np.float64(-0.11203703703703703), np.float64(-0.1)]</t>
  </si>
  <si>
    <t>[np.float64(-0.09907407407407408), np.float64(-0.10092592592592593)]</t>
  </si>
  <si>
    <t>[1.141883999982383, 2.4739684999804012]</t>
  </si>
  <si>
    <t>[np.float64(-0.3277777777777778)]</t>
  </si>
  <si>
    <t>[1.199320899992017]</t>
  </si>
  <si>
    <t>[np.float64(-0.44537037037037036)]</t>
  </si>
  <si>
    <t>[np.float64(-0.09814814814814815)]</t>
  </si>
  <si>
    <t>[1.4405994999979157]</t>
  </si>
  <si>
    <t>[np.float64(-0.46111111111111114)]</t>
  </si>
  <si>
    <t>[np.float64(-0.34814814814814815)]</t>
  </si>
  <si>
    <t>[1.4940927999850828]</t>
  </si>
  <si>
    <t>[np.float64(-0.39814814814814814)]</t>
  </si>
  <si>
    <t>[np.float64(-0.3398148148148148)]</t>
  </si>
  <si>
    <t>[1.1566702000272926]</t>
  </si>
  <si>
    <t>[np.float64(-0.022222222222222223)]</t>
  </si>
  <si>
    <t>[np.float64(0.4787037037037037)]</t>
  </si>
  <si>
    <t>[2.02034609997645]</t>
  </si>
  <si>
    <t>[np.float64(-0.10092592592592593)]</t>
  </si>
  <si>
    <t>[1.3495935999962967]</t>
  </si>
  <si>
    <t>[np.float64(0.287962962962963)]</t>
  </si>
  <si>
    <t>[np.float64(0.32592592592592595)]</t>
  </si>
  <si>
    <t>[1.323500900005456]</t>
  </si>
  <si>
    <t>[np.float64(0.19444444444444445)]</t>
  </si>
  <si>
    <t>[np.float64(0.06574074074074074)]</t>
  </si>
  <si>
    <t>[1.5721473000012338]</t>
  </si>
  <si>
    <t>[np.float64(0.30648148148148147)]</t>
  </si>
  <si>
    <t>[np.float64(-0.27314814814814814)]</t>
  </si>
  <si>
    <t>[1.174605000007432]</t>
  </si>
  <si>
    <t>[np.float64(-0.13796296296296295)]</t>
  </si>
  <si>
    <t>[np.float64(0.06944444444444445)]</t>
  </si>
  <si>
    <t>[1.1838647999975365]</t>
  </si>
  <si>
    <t>[np.float64(-0.4361111111111111)]</t>
  </si>
  <si>
    <t>[1.218996400013566]</t>
  </si>
  <si>
    <t>[np.float64(0.21296296296296297)]</t>
  </si>
  <si>
    <t>[np.float64(-0.19166666666666668)]</t>
  </si>
  <si>
    <t>[1.278033200011123]</t>
  </si>
  <si>
    <t>[np.float64(-0.17777777777777778)]</t>
  </si>
  <si>
    <t>[np.float64(0.225)]</t>
  </si>
  <si>
    <t>[1.3395108000258915]</t>
  </si>
  <si>
    <t>[np.float64(-0.46296296296296297)]</t>
  </si>
  <si>
    <t>[np.float64(0.14351851851851852)]</t>
  </si>
  <si>
    <t>[1.2226634999969974]</t>
  </si>
  <si>
    <t>[np.float64(-0.2111111111111111)]</t>
  </si>
  <si>
    <t>[np.float64(-0.3962962962962963)]</t>
  </si>
  <si>
    <t>[1.2699661999940872]</t>
  </si>
  <si>
    <t>[np.float64(0.3388888888888889)]</t>
  </si>
  <si>
    <t>[np.float64(-0.2657407407407407)]</t>
  </si>
  <si>
    <t>[1.1789685999974608]</t>
  </si>
  <si>
    <t>[np.float64(0.33611111111111114)]</t>
  </si>
  <si>
    <t>[np.float64(0.3138888888888889)]</t>
  </si>
  <si>
    <t>[1.2086282999953255]</t>
  </si>
  <si>
    <t>[np.float64(0.3907407407407407)]</t>
  </si>
  <si>
    <t>[np.float64(-0.1648148148148148)]</t>
  </si>
  <si>
    <t>[1.1622280000010505]</t>
  </si>
  <si>
    <t>[1.2232985000009649]</t>
  </si>
  <si>
    <t>[np.float64(-0.08518518518518518)]</t>
  </si>
  <si>
    <t>[np.float64(-0.16944444444444445)]</t>
  </si>
  <si>
    <t>[1.0277365999936592]</t>
  </si>
  <si>
    <t>[np.float64(0.41574074074074074)]</t>
  </si>
  <si>
    <t>[1.651035100017907]</t>
  </si>
  <si>
    <t>[np.float64(-0.09074074074074075), np.float64(-0.10185185185185185)]</t>
  </si>
  <si>
    <t>[np.float64(-0.337037037037037), np.float64(-0.3388888888888889)]</t>
  </si>
  <si>
    <t>[1.2874215000192635, 2.1023967000073753]</t>
  </si>
  <si>
    <t>[np.float64(0.16296296296296298)]</t>
  </si>
  <si>
    <t>[np.float64(0.4777777777777778)]</t>
  </si>
  <si>
    <t>[1.6393663000199012]</t>
  </si>
  <si>
    <t>[np.float64(0.4962962962962963)]</t>
  </si>
  <si>
    <t>[np.float64(-0.3333333333333333)]</t>
  </si>
  <si>
    <t>[1.6036221999966074]</t>
  </si>
  <si>
    <t>[np.float64(0.4861111111111111)]</t>
  </si>
  <si>
    <t>[np.float64(-0.05648148148148148)]</t>
  </si>
  <si>
    <t>[1.1882347000064328]</t>
  </si>
  <si>
    <t>[np.float64(-0.10648148148148148)]</t>
  </si>
  <si>
    <t>[np.float64(0.24074074074074073)]</t>
  </si>
  <si>
    <t>[1.3446672999998555]</t>
  </si>
  <si>
    <t>[np.float64(0.11018518518518519)]</t>
  </si>
  <si>
    <t>[1.5214588000089861]</t>
  </si>
  <si>
    <t>[np.float64(0.14074074074074075)]</t>
  </si>
  <si>
    <t>[np.float64(-0.31851851851851853)]</t>
  </si>
  <si>
    <t>[1.1470880999986548]</t>
  </si>
  <si>
    <t>[np.float64(0.46111111111111114)]</t>
  </si>
  <si>
    <t>[1.425316600012593]</t>
  </si>
  <si>
    <t>[np.float64(-0.49166666666666664)]</t>
  </si>
  <si>
    <t>[np.float64(-0.42777777777777776)]</t>
  </si>
  <si>
    <t>[1.9581572000170127]</t>
  </si>
  <si>
    <t>[1.2754827000026125]</t>
  </si>
  <si>
    <t>[np.float64(0.3824074074074074)]</t>
  </si>
  <si>
    <t>[np.float64(-0.44907407407407407)]</t>
  </si>
  <si>
    <t>[1.3405492000165395]</t>
  </si>
  <si>
    <t>[np.float64(0.21574074074074073)]</t>
  </si>
  <si>
    <t>[np.float64(0.4842592592592593)]</t>
  </si>
  <si>
    <t>[1.922851699986495]</t>
  </si>
  <si>
    <t>[np.float64(-0.11388888888888889)]</t>
  </si>
  <si>
    <t>[np.float64(-0.1361111111111111)]</t>
  </si>
  <si>
    <t>[1.5046938000014052]</t>
  </si>
  <si>
    <t>[np.float64(-0.25092592592592594)]</t>
  </si>
  <si>
    <t>[1.3075015999784227]</t>
  </si>
  <si>
    <t>[np.float64(0.3712962962962963)]</t>
  </si>
  <si>
    <t>[np.float64(0.2074074074074074)]</t>
  </si>
  <si>
    <t>[1.4512263000069652]</t>
  </si>
  <si>
    <t>[np.float64(-0.3388888888888889)]</t>
  </si>
  <si>
    <t>[np.float64(-0.3925925925925926)]</t>
  </si>
  <si>
    <t>[1.2938371000054758]</t>
  </si>
  <si>
    <t>[np.float64(-0.4083333333333333)]</t>
  </si>
  <si>
    <t>[np.float64(0.46944444444444444)]</t>
  </si>
  <si>
    <t>[1.6091929000103846]</t>
  </si>
  <si>
    <t>[np.float64(-0.30648148148148147)]</t>
  </si>
  <si>
    <t>[np.float64(0.09166666666666666)]</t>
  </si>
  <si>
    <t>[1.1243351000011899]</t>
  </si>
  <si>
    <t>[np.float64(-0.30092592592592593)]</t>
  </si>
  <si>
    <t>[np.float64(0.42314814814814816)]</t>
  </si>
  <si>
    <t>[1.3698669000004884]</t>
  </si>
  <si>
    <t>[np.float64(0.012037037037037037)]</t>
  </si>
  <si>
    <t>[1.3940356000093743]</t>
  </si>
  <si>
    <t>[np.float64(0.10277777777777777)]</t>
  </si>
  <si>
    <t>[1.2731036000186577]</t>
  </si>
  <si>
    <t>[np.float64(-0.2222222222222222)]</t>
  </si>
  <si>
    <t>[1.139146699977573]</t>
  </si>
  <si>
    <t>[1.0941773999948055]</t>
  </si>
  <si>
    <t>[np.float64(-0.11296296296296296), np.float64(-0.11666666666666667)]</t>
  </si>
  <si>
    <t>[np.float64(-0.3388888888888889), np.float64(-0.3490740740740741)]</t>
  </si>
  <si>
    <t>[1.1886703000054695, 1.9894743000040762]</t>
  </si>
  <si>
    <t>[np.float64(-0.4842592592592593)]</t>
  </si>
  <si>
    <t>[2.1826162000070326]</t>
  </si>
  <si>
    <t>[np.float64(-0.4462962962962963)]</t>
  </si>
  <si>
    <t>[np.float64(0.11388888888888889)]</t>
  </si>
  <si>
    <t>[1.1473806999856606]</t>
  </si>
  <si>
    <t>[np.float64(0.40925925925925927)]</t>
  </si>
  <si>
    <t>[np.float64(0.24537037037037038)]</t>
  </si>
  <si>
    <t>[1.3584388000017498]</t>
  </si>
  <si>
    <t>[np.float64(-0.03148148148148148)]</t>
  </si>
  <si>
    <t>[1.273773600027198]</t>
  </si>
  <si>
    <t>[np.float64(0.2675925925925926)]</t>
  </si>
  <si>
    <t>[np.float64(-0.3111111111111111)]</t>
  </si>
  <si>
    <t>[1.071553900022991]</t>
  </si>
  <si>
    <t>[np.float64(-0.13240740740740742)]</t>
  </si>
  <si>
    <t>[np.float64(0.4083333333333333)]</t>
  </si>
  <si>
    <t>[1.839609200018458]</t>
  </si>
  <si>
    <t>[np.float64(-0.019444444444444445)]</t>
  </si>
  <si>
    <t>[1.2850624000129756]</t>
  </si>
  <si>
    <t>[np.float64(0.24722222222222223)]</t>
  </si>
  <si>
    <t>[np.float64(-0.4861111111111111)]</t>
  </si>
  <si>
    <t>[1.4613047999737319]</t>
  </si>
  <si>
    <t>[np.float64(0.26944444444444443)]</t>
  </si>
  <si>
    <t>[1.6847391999908723]</t>
  </si>
  <si>
    <t>[np.float64(0.26944444444444443), np.float64(0.10925925925925926)]</t>
  </si>
  <si>
    <t>[np.float64(0.44722222222222224), np.float64(0.06296296296296296)]</t>
  </si>
  <si>
    <t>[0.4120048999902792, 1.379246399999829]</t>
  </si>
  <si>
    <t>[np.float64(0.22777777777777777)]</t>
  </si>
  <si>
    <t>[np.float64(0.07685185185185185)]</t>
  </si>
  <si>
    <t>[0.8893975000246428]</t>
  </si>
  <si>
    <t>[np.float64(0.4759259259259259)]</t>
  </si>
  <si>
    <t>[np.float64(-0.025925925925925925)]</t>
  </si>
  <si>
    <t>[1.0988048000144772]</t>
  </si>
  <si>
    <t>[np.float64(0.04814814814814815)]</t>
  </si>
  <si>
    <t>[1.1448878000082914]</t>
  </si>
  <si>
    <t>[np.float64(0.025925925925925925)]</t>
  </si>
  <si>
    <t>[1.1652114999888]</t>
  </si>
  <si>
    <t>[np.float64(-0.24537037037037038)]</t>
  </si>
  <si>
    <t>[1.511512600001879]</t>
  </si>
  <si>
    <t>[np.float64(0.32314814814814813)]</t>
  </si>
  <si>
    <t>[1.2616090000083204]</t>
  </si>
  <si>
    <t>[np.float64(0.3787037037037037)]</t>
  </si>
  <si>
    <t>[1.422084999998333]</t>
  </si>
  <si>
    <t>[np.float64(0.2953703703703704)]</t>
  </si>
  <si>
    <t>[np.float64(0.15555555555555556)]</t>
  </si>
  <si>
    <t>[1.070271499978844]</t>
  </si>
  <si>
    <t>[np.float64(0.4203703703703704)]</t>
  </si>
  <si>
    <t>[np.float64(-0.19907407407407407)]</t>
  </si>
  <si>
    <t>[1.043080400006147]</t>
  </si>
  <si>
    <t>[np.float64(-0.3074074074074074)]</t>
  </si>
  <si>
    <t>[1.979390799999237]</t>
  </si>
  <si>
    <t>[np.float64(0.5)]</t>
  </si>
  <si>
    <t>[4.128290799999377]</t>
  </si>
  <si>
    <t>[np.float64(-0.20925925925925926)]</t>
  </si>
  <si>
    <t>[1.2111740999971516]</t>
  </si>
  <si>
    <t>[np.float64(-0.38981481481481484), np.float64(-0.37222222222222223)]</t>
  </si>
  <si>
    <t>[np.float64(-0.1685185185185185), np.float64(-0.14814814814814814)]</t>
  </si>
  <si>
    <t>[1.1397297999938019, 1.9368898999819066]</t>
  </si>
  <si>
    <t>[np.float64(-0.30185185185185187)]</t>
  </si>
  <si>
    <t>[1.238224500004435]</t>
  </si>
  <si>
    <t>[np.float64(-0.33796296296296297)]</t>
  </si>
  <si>
    <t>[1.259898799995426]</t>
  </si>
  <si>
    <t>[np.float64(0.05185185185185185)]</t>
  </si>
  <si>
    <t>[np.float64(-0.3851851851851852)]</t>
  </si>
  <si>
    <t>[1.092665300006047]</t>
  </si>
  <si>
    <t>[np.float64(0.4685185185185185)]</t>
  </si>
  <si>
    <t>[1.23932860000059]</t>
  </si>
  <si>
    <t>[np.float64(0.14166666666666666), np.float64(0.1675925925925926)]</t>
  </si>
  <si>
    <t>[np.float64(-0.2), np.float64(-0.21388888888888888)]</t>
  </si>
  <si>
    <t>[1.2573514999821782, 2.007935699977679]</t>
  </si>
  <si>
    <t>[np.float64(-0.23055555555555557)]</t>
  </si>
  <si>
    <t>[1.22087950000423]</t>
  </si>
  <si>
    <t>[np.float64(-0.24166666666666667)]</t>
  </si>
  <si>
    <t>[1.6062583999882918]</t>
  </si>
  <si>
    <t>[1.4427425999892876]</t>
  </si>
  <si>
    <t>[np.float64(-0.06759259259259259)]</t>
  </si>
  <si>
    <t>[np.float64(-0.4546296296296296)]</t>
  </si>
  <si>
    <t>[1.3163047999842092]</t>
  </si>
  <si>
    <t>[np.float64(-0.2462962962962963)]</t>
  </si>
  <si>
    <t>[1.2541093000036199]</t>
  </si>
  <si>
    <t>[np.float64(-0.11666666666666667)]</t>
  </si>
  <si>
    <t>[1.1185009999899194]</t>
  </si>
  <si>
    <t>[np.float64(-0.24351851851851852)]</t>
  </si>
  <si>
    <t>[1.408345100004226]</t>
  </si>
  <si>
    <t>[np.float64(-0.18333333333333332)]</t>
  </si>
  <si>
    <t>[np.float64(0.021296296296296296)]</t>
  </si>
  <si>
    <t>[1.3314153000246733]</t>
  </si>
  <si>
    <t>[np.float64(0.0), np.float64(-0.000925925925925926)]</t>
  </si>
  <si>
    <t>[np.float64(-0.3731481481481482), np.float64(-0.38796296296296295)]</t>
  </si>
  <si>
    <t>[1.226953700010199, 1.9608905999921262]</t>
  </si>
  <si>
    <t>[np.float64(0.053703703703703705)]</t>
  </si>
  <si>
    <t>[1.5642358000040986]</t>
  </si>
  <si>
    <t>[np.float64(0.25)]</t>
  </si>
  <si>
    <t>[1.650610400014557]</t>
  </si>
  <si>
    <t>[np.float64(0.4398148148148148)]</t>
  </si>
  <si>
    <t>[1.4720912000047974]</t>
  </si>
  <si>
    <t>[np.float64(0.016666666666666666)]</t>
  </si>
  <si>
    <t>[np.float64(-0.20462962962962963)]</t>
  </si>
  <si>
    <t>[1.0814176000130828]</t>
  </si>
  <si>
    <t>[np.float64(0.275)]</t>
  </si>
  <si>
    <t>[1.1495790999906603]</t>
  </si>
  <si>
    <t>[np.float64(-0.12222222222222222)]</t>
  </si>
  <si>
    <t>[np.float64(-0.06944444444444445)]</t>
  </si>
  <si>
    <t>[1.0938349000061862]</t>
  </si>
  <si>
    <t>[np.float64(-0.34629629629629627)]</t>
  </si>
  <si>
    <t>[1.4149282000144012]</t>
  </si>
  <si>
    <t>[np.float64(0.44074074074074077)]</t>
  </si>
  <si>
    <t>[2.10102500001085]</t>
  </si>
  <si>
    <t>[np.float64(-0.16018518518518518)]</t>
  </si>
  <si>
    <t>[np.float64(-0.30925925925925923)]</t>
  </si>
  <si>
    <t>[1.2882854000199586]</t>
  </si>
  <si>
    <t>[np.float64(0.2861111111111111)]</t>
  </si>
  <si>
    <t>[1.2184004999871831]</t>
  </si>
  <si>
    <t>[np.float64(-0.4527777777777778)]</t>
  </si>
  <si>
    <t>[1.358563799993135]</t>
  </si>
  <si>
    <t>Mean RT - 5</t>
  </si>
  <si>
    <t>Mean RT - 10</t>
  </si>
  <si>
    <t>Slope=</t>
  </si>
  <si>
    <t>Y2-Y1</t>
  </si>
  <si>
    <t>X2-X1</t>
  </si>
  <si>
    <t xml:space="preserve">Slope = </t>
  </si>
  <si>
    <t>Y(2)-Y(1)/X(2)-X(1)</t>
  </si>
  <si>
    <t>Participant</t>
  </si>
  <si>
    <t>Set Size</t>
  </si>
  <si>
    <t>Reaction Time</t>
  </si>
  <si>
    <t>s/item</t>
  </si>
  <si>
    <t>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</si>
</sst>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Analysis!$I$11:$I$12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Analysis!$J$11:$J$12</c:f>
              <c:numCache>
                <c:formatCode>General</c:formatCode>
                <c:ptCount val="2"/>
                <c:pt idx="0">
                  <c:v>1.3096766081651663</c:v>
                </c:pt>
                <c:pt idx="1">
                  <c:v>1.535425852328334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2-4685-869D-6E3372A9F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268080"/>
        <c:axId val="1415269520"/>
      </c:lineChart>
      <c:catAx>
        <c:axId val="141526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69520"/>
        <c:crosses val="autoZero"/>
        <c:auto val="1"/>
        <c:lblAlgn val="ctr"/>
        <c:lblOffset val="100"/>
        <c:noMultiLvlLbl val="0"/>
      </c:catAx>
      <c:valAx>
        <c:axId val="14152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6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Analysis!$I$11:$I$12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Analysis!$J$11:$J$12</c:f>
              <c:numCache>
                <c:formatCode>General</c:formatCode>
                <c:ptCount val="2"/>
                <c:pt idx="0">
                  <c:v>1.3096766081651663</c:v>
                </c:pt>
                <c:pt idx="1">
                  <c:v>1.535425852328334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C-49EA-A29C-3E158E37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283472"/>
        <c:axId val="1172282032"/>
      </c:barChart>
      <c:catAx>
        <c:axId val="117228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82032"/>
        <c:crosses val="autoZero"/>
        <c:auto val="1"/>
        <c:lblAlgn val="ctr"/>
        <c:lblOffset val="100"/>
        <c:noMultiLvlLbl val="0"/>
      </c:catAx>
      <c:valAx>
        <c:axId val="11722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8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'Grand Analysis'!$C$1</c:f>
              <c:strCache>
                <c:ptCount val="1"/>
                <c:pt idx="0">
                  <c:v>Reaction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'Grand Analysis'!$A$2:$B$11</c:f>
              <c:multiLvlStrCache>
                <c:ptCount val="10"/>
                <c:lvl>
                  <c:pt idx="0">
                    <c:v>Mean RT - 5</c:v>
                  </c:pt>
                  <c:pt idx="1">
                    <c:v>Mean RT - 10</c:v>
                  </c:pt>
                  <c:pt idx="2">
                    <c:v>Mean RT - 5</c:v>
                  </c:pt>
                  <c:pt idx="3">
                    <c:v>Mean RT - 10</c:v>
                  </c:pt>
                  <c:pt idx="4">
                    <c:v>Mean RT - 5</c:v>
                  </c:pt>
                  <c:pt idx="5">
                    <c:v>Mean RT - 10</c:v>
                  </c:pt>
                  <c:pt idx="6">
                    <c:v>Mean RT - 5</c:v>
                  </c:pt>
                  <c:pt idx="7">
                    <c:v>Mean RT - 10</c:v>
                  </c:pt>
                  <c:pt idx="8">
                    <c:v>Mean RT - 5</c:v>
                  </c:pt>
                  <c:pt idx="9">
                    <c:v>Mean RT - 10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  <c:pt idx="8">
                    <c:v>5</c:v>
                  </c:pt>
                </c:lvl>
              </c:multiLvlStrCache>
            </c:multiLvlStrRef>
          </c:cat>
          <c:val>
            <c:numRef>
              <c:f>'Grand Analysis'!$C$2:$C$11</c:f>
              <c:numCache>
                <c:formatCode>General</c:formatCode>
                <c:ptCount val="10"/>
                <c:pt idx="0">
                  <c:v>1.4997829720168339</c:v>
                </c:pt>
                <c:pt idx="1">
                  <c:v>1.6227087463141918</c:v>
                </c:pt>
                <c:pt idx="2">
                  <c:v>1.2943990371428393</c:v>
                </c:pt>
                <c:pt idx="3">
                  <c:v>1.370072978571395</c:v>
                </c:pt>
                <c:pt idx="4">
                  <c:v>1.4025567878378513</c:v>
                </c:pt>
                <c:pt idx="5">
                  <c:v>1.4905724208332924</c:v>
                </c:pt>
                <c:pt idx="6">
                  <c:v>1.937310413000811</c:v>
                </c:pt>
                <c:pt idx="7">
                  <c:v>2.0960054567006279</c:v>
                </c:pt>
                <c:pt idx="8">
                  <c:v>1.3096766081651663</c:v>
                </c:pt>
                <c:pt idx="9">
                  <c:v>1.535425852328334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3-4469-BE7E-2B6EDD52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227792"/>
        <c:axId val="11222287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'Grand Analysis'!$D$1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'Grand Analysis'!$A$2:$B$11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Mean RT - 5</c:v>
                        </c:pt>
                        <c:pt idx="1">
                          <c:v>Mean RT - 10</c:v>
                        </c:pt>
                        <c:pt idx="2">
                          <c:v>Mean RT - 5</c:v>
                        </c:pt>
                        <c:pt idx="3">
                          <c:v>Mean RT - 10</c:v>
                        </c:pt>
                        <c:pt idx="4">
                          <c:v>Mean RT - 5</c:v>
                        </c:pt>
                        <c:pt idx="5">
                          <c:v>Mean RT - 10</c:v>
                        </c:pt>
                        <c:pt idx="6">
                          <c:v>Mean RT - 5</c:v>
                        </c:pt>
                        <c:pt idx="7">
                          <c:v>Mean RT - 10</c:v>
                        </c:pt>
                        <c:pt idx="8">
                          <c:v>Mean RT - 5</c:v>
                        </c:pt>
                        <c:pt idx="9">
                          <c:v>Mean RT - 10</c:v>
                        </c:pt>
                      </c:lvl>
                      <c:lvl>
                        <c:pt idx="0">
                          <c:v>1</c:v>
                        </c:pt>
                        <c:pt idx="2">
                          <c:v>2</c:v>
                        </c:pt>
                        <c:pt idx="4">
                          <c:v>3</c:v>
                        </c:pt>
                        <c:pt idx="6">
                          <c:v>4</c:v>
                        </c:pt>
                        <c:pt idx="8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'Grand Analysis'!$D$2:$D$11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433-4469-BE7E-2B6EDD523CD2}"/>
                  </c:ext>
                </c:extLst>
              </c15:ser>
            </c15:filteredBarSeries>
          </c:ext>
        </c:extLst>
      </c:barChart>
      <c:catAx>
        <c:axId val="112222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28752"/>
        <c:crosses val="autoZero"/>
        <c:auto val="1"/>
        <c:lblAlgn val="ctr"/>
        <c:lblOffset val="100"/>
        <c:noMultiLvlLbl val="0"/>
      </c:catAx>
      <c:valAx>
        <c:axId val="11222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2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80367</xdr:colOff>
      <xdr:row>4</xdr:row>
      <xdr:rowOff>47227</xdr:rowOff>
    </xdr:from>
    <xdr:to>
      <xdr:col>19</xdr:col>
      <xdr:colOff>415726</xdr:colOff>
      <xdr:row>18</xdr:row>
      <xdr:rowOff>151209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B811A-77B7-4398-F3A1-04529C185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90289</xdr:colOff>
      <xdr:row>20</xdr:row>
      <xdr:rowOff>57150</xdr:rowOff>
    </xdr:from>
    <xdr:to>
      <xdr:col>19</xdr:col>
      <xdr:colOff>425648</xdr:colOff>
      <xdr:row>34</xdr:row>
      <xdr:rowOff>161132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07B79-F2BD-A298-D5D8-7573B1D11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82550</xdr:rowOff>
    </xdr:from>
    <xdr:to>
      <xdr:col>13</xdr:col>
      <xdr:colOff>231775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30692-923F-E305-149B-DE1849398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39D0-878F-4EF6-B913-48563DA98964}">
  <dimension ref="A1:AS203"/>
  <sheetViews>
    <sheetView topLeftCell="F188" workbookViewId="0">
      <selection activeCell="U1" activeCellId="1" sqref="I1:J202 U1:U20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Q2">
        <v>3.24319998617284E-3</v>
      </c>
      <c r="R2">
        <v>9.9481999932322599E-3</v>
      </c>
      <c r="S2">
        <v>5.0873442000010902</v>
      </c>
      <c r="T2">
        <v>4.99714669998502</v>
      </c>
      <c r="AL2" t="s">
        <v>45</v>
      </c>
      <c r="AM2">
        <v>1</v>
      </c>
      <c r="AN2" t="s">
        <v>46</v>
      </c>
      <c r="AO2" t="s">
        <v>47</v>
      </c>
      <c r="AQ2" t="s">
        <v>48</v>
      </c>
      <c r="AR2">
        <v>60.014499505194401</v>
      </c>
      <c r="AS2" t="s">
        <v>49</v>
      </c>
    </row>
    <row r="3" spans="1:45" x14ac:dyDescent="0.35">
      <c r="A3">
        <v>0</v>
      </c>
      <c r="B3">
        <v>0</v>
      </c>
      <c r="C3">
        <v>0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55</v>
      </c>
      <c r="K3">
        <v>0</v>
      </c>
      <c r="L3">
        <v>0</v>
      </c>
      <c r="M3">
        <v>0</v>
      </c>
      <c r="N3">
        <v>0</v>
      </c>
      <c r="O3">
        <v>5.0873442000010902</v>
      </c>
      <c r="U3">
        <v>10</v>
      </c>
      <c r="V3">
        <v>5.0625743000127796</v>
      </c>
      <c r="W3">
        <v>5.0873442000010902</v>
      </c>
      <c r="X3">
        <v>5.0873442000010902</v>
      </c>
      <c r="Y3">
        <v>6.26214999938383E-2</v>
      </c>
      <c r="Z3">
        <v>9.2988657999958306</v>
      </c>
      <c r="AA3" t="s">
        <v>50</v>
      </c>
      <c r="AB3" t="s">
        <v>51</v>
      </c>
      <c r="AC3" t="s">
        <v>52</v>
      </c>
      <c r="AD3" t="s">
        <v>53</v>
      </c>
      <c r="AE3" t="s">
        <v>53</v>
      </c>
      <c r="AF3" t="s">
        <v>54</v>
      </c>
      <c r="AG3" t="s">
        <v>55</v>
      </c>
      <c r="AL3" t="s">
        <v>45</v>
      </c>
      <c r="AM3">
        <v>1</v>
      </c>
      <c r="AN3" t="s">
        <v>46</v>
      </c>
      <c r="AO3" t="s">
        <v>47</v>
      </c>
      <c r="AQ3" t="s">
        <v>48</v>
      </c>
      <c r="AR3">
        <v>60.014499505194401</v>
      </c>
      <c r="AS3" t="s">
        <v>49</v>
      </c>
    </row>
    <row r="4" spans="1:45" x14ac:dyDescent="0.35">
      <c r="A4">
        <v>1</v>
      </c>
      <c r="B4">
        <v>0</v>
      </c>
      <c r="C4">
        <v>1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60</v>
      </c>
      <c r="J4" t="s">
        <v>61</v>
      </c>
      <c r="K4">
        <v>1</v>
      </c>
      <c r="L4">
        <v>0</v>
      </c>
      <c r="M4">
        <v>1</v>
      </c>
      <c r="N4">
        <v>0</v>
      </c>
      <c r="O4">
        <v>9.3829504000023007</v>
      </c>
      <c r="U4">
        <v>10</v>
      </c>
      <c r="V4">
        <v>9.3571494999923708</v>
      </c>
      <c r="W4">
        <v>9.3829504000023007</v>
      </c>
      <c r="X4">
        <v>9.3829504000023007</v>
      </c>
      <c r="Y4">
        <v>5.7917899976018802E-2</v>
      </c>
      <c r="Z4">
        <v>14.347391299990701</v>
      </c>
      <c r="AA4" t="s">
        <v>56</v>
      </c>
      <c r="AB4" t="s">
        <v>57</v>
      </c>
      <c r="AC4" t="s">
        <v>58</v>
      </c>
      <c r="AD4" t="s">
        <v>59</v>
      </c>
      <c r="AE4" t="s">
        <v>59</v>
      </c>
      <c r="AF4" t="s">
        <v>60</v>
      </c>
      <c r="AG4" t="s">
        <v>61</v>
      </c>
      <c r="AL4" t="s">
        <v>45</v>
      </c>
      <c r="AM4">
        <v>1</v>
      </c>
      <c r="AN4" t="s">
        <v>46</v>
      </c>
      <c r="AO4" t="s">
        <v>47</v>
      </c>
      <c r="AQ4" t="s">
        <v>48</v>
      </c>
      <c r="AR4">
        <v>60.014499505194401</v>
      </c>
      <c r="AS4" t="s">
        <v>49</v>
      </c>
    </row>
    <row r="5" spans="1:45" x14ac:dyDescent="0.35">
      <c r="A5">
        <v>2</v>
      </c>
      <c r="B5">
        <v>0</v>
      </c>
      <c r="C5">
        <v>2</v>
      </c>
      <c r="D5" t="s">
        <v>62</v>
      </c>
      <c r="E5" t="s">
        <v>63</v>
      </c>
      <c r="F5" t="s">
        <v>52</v>
      </c>
      <c r="G5" t="s">
        <v>53</v>
      </c>
      <c r="H5" t="s">
        <v>53</v>
      </c>
      <c r="I5" t="s">
        <v>64</v>
      </c>
      <c r="J5" t="s">
        <v>55</v>
      </c>
      <c r="K5">
        <v>2</v>
      </c>
      <c r="L5">
        <v>0</v>
      </c>
      <c r="M5">
        <v>2</v>
      </c>
      <c r="N5">
        <v>0</v>
      </c>
      <c r="O5">
        <v>14.424301799997901</v>
      </c>
      <c r="U5">
        <v>10</v>
      </c>
      <c r="V5">
        <v>14.401707299984899</v>
      </c>
      <c r="W5">
        <v>14.424301799997901</v>
      </c>
      <c r="X5">
        <v>14.424301799997901</v>
      </c>
      <c r="Y5">
        <v>5.3924500010907601E-2</v>
      </c>
      <c r="Z5">
        <v>15.8332510000036</v>
      </c>
      <c r="AA5" t="s">
        <v>62</v>
      </c>
      <c r="AB5" t="s">
        <v>63</v>
      </c>
      <c r="AC5" t="s">
        <v>52</v>
      </c>
      <c r="AD5" t="s">
        <v>53</v>
      </c>
      <c r="AE5" t="s">
        <v>53</v>
      </c>
      <c r="AF5" t="s">
        <v>64</v>
      </c>
      <c r="AG5" t="s">
        <v>55</v>
      </c>
      <c r="AL5" t="s">
        <v>45</v>
      </c>
      <c r="AM5">
        <v>1</v>
      </c>
      <c r="AN5" t="s">
        <v>46</v>
      </c>
      <c r="AO5" t="s">
        <v>47</v>
      </c>
      <c r="AQ5" t="s">
        <v>48</v>
      </c>
      <c r="AR5">
        <v>60.014499505194401</v>
      </c>
      <c r="AS5" t="s">
        <v>49</v>
      </c>
    </row>
    <row r="6" spans="1:45" x14ac:dyDescent="0.35">
      <c r="A6">
        <v>3</v>
      </c>
      <c r="B6">
        <v>0</v>
      </c>
      <c r="C6">
        <v>3</v>
      </c>
      <c r="D6" t="s">
        <v>65</v>
      </c>
      <c r="E6" t="s">
        <v>66</v>
      </c>
      <c r="F6" t="s">
        <v>52</v>
      </c>
      <c r="G6" t="s">
        <v>53</v>
      </c>
      <c r="H6" t="s">
        <v>53</v>
      </c>
      <c r="I6" t="s">
        <v>67</v>
      </c>
      <c r="J6" t="s">
        <v>55</v>
      </c>
      <c r="K6">
        <v>3</v>
      </c>
      <c r="L6">
        <v>0</v>
      </c>
      <c r="M6">
        <v>3</v>
      </c>
      <c r="N6">
        <v>0</v>
      </c>
      <c r="O6">
        <v>15.871215899998701</v>
      </c>
      <c r="U6">
        <v>5</v>
      </c>
      <c r="V6">
        <v>15.858672600006599</v>
      </c>
      <c r="W6">
        <v>15.871215899998701</v>
      </c>
      <c r="X6">
        <v>15.871215899998701</v>
      </c>
      <c r="Y6">
        <v>2.5113399984547799E-2</v>
      </c>
      <c r="Z6">
        <v>16.9165506999997</v>
      </c>
      <c r="AA6" t="s">
        <v>65</v>
      </c>
      <c r="AB6" t="s">
        <v>66</v>
      </c>
      <c r="AC6" t="s">
        <v>52</v>
      </c>
      <c r="AD6" t="s">
        <v>53</v>
      </c>
      <c r="AE6" t="s">
        <v>53</v>
      </c>
      <c r="AF6" t="s">
        <v>67</v>
      </c>
      <c r="AG6" t="s">
        <v>55</v>
      </c>
      <c r="AL6" t="s">
        <v>45</v>
      </c>
      <c r="AM6">
        <v>1</v>
      </c>
      <c r="AN6" t="s">
        <v>46</v>
      </c>
      <c r="AO6" t="s">
        <v>47</v>
      </c>
      <c r="AQ6" t="s">
        <v>48</v>
      </c>
      <c r="AR6">
        <v>60.014499505194401</v>
      </c>
      <c r="AS6" t="s">
        <v>49</v>
      </c>
    </row>
    <row r="7" spans="1:45" x14ac:dyDescent="0.35">
      <c r="A7">
        <v>4</v>
      </c>
      <c r="B7">
        <v>0</v>
      </c>
      <c r="C7">
        <v>4</v>
      </c>
      <c r="D7" t="s">
        <v>68</v>
      </c>
      <c r="E7" t="s">
        <v>69</v>
      </c>
      <c r="F7" t="s">
        <v>52</v>
      </c>
      <c r="G7" t="s">
        <v>53</v>
      </c>
      <c r="H7" t="s">
        <v>53</v>
      </c>
      <c r="I7" t="s">
        <v>70</v>
      </c>
      <c r="J7" t="s">
        <v>55</v>
      </c>
      <c r="K7">
        <v>4</v>
      </c>
      <c r="L7">
        <v>0</v>
      </c>
      <c r="M7">
        <v>4</v>
      </c>
      <c r="N7">
        <v>0</v>
      </c>
      <c r="O7">
        <v>16.983881499996599</v>
      </c>
      <c r="U7">
        <v>10</v>
      </c>
      <c r="V7">
        <v>16.965401199995501</v>
      </c>
      <c r="W7">
        <v>16.983881499996599</v>
      </c>
      <c r="X7">
        <v>16.983881499996599</v>
      </c>
      <c r="Y7">
        <v>4.8655499995220397E-2</v>
      </c>
      <c r="Z7">
        <v>18.197613500000401</v>
      </c>
      <c r="AA7" t="s">
        <v>68</v>
      </c>
      <c r="AB7" t="s">
        <v>69</v>
      </c>
      <c r="AC7" t="s">
        <v>52</v>
      </c>
      <c r="AD7" t="s">
        <v>53</v>
      </c>
      <c r="AE7" t="s">
        <v>53</v>
      </c>
      <c r="AF7" t="s">
        <v>70</v>
      </c>
      <c r="AG7" t="s">
        <v>55</v>
      </c>
      <c r="AL7" t="s">
        <v>45</v>
      </c>
      <c r="AM7">
        <v>1</v>
      </c>
      <c r="AN7" t="s">
        <v>46</v>
      </c>
      <c r="AO7" t="s">
        <v>47</v>
      </c>
      <c r="AQ7" t="s">
        <v>48</v>
      </c>
      <c r="AR7">
        <v>60.014499505194401</v>
      </c>
      <c r="AS7" t="s">
        <v>49</v>
      </c>
    </row>
    <row r="8" spans="1:45" x14ac:dyDescent="0.35">
      <c r="A8">
        <v>5</v>
      </c>
      <c r="B8">
        <v>0</v>
      </c>
      <c r="C8">
        <v>5</v>
      </c>
      <c r="D8" t="s">
        <v>71</v>
      </c>
      <c r="E8" t="s">
        <v>72</v>
      </c>
      <c r="F8" t="s">
        <v>52</v>
      </c>
      <c r="G8" t="s">
        <v>53</v>
      </c>
      <c r="H8" t="s">
        <v>53</v>
      </c>
      <c r="I8" t="s">
        <v>73</v>
      </c>
      <c r="J8" t="s">
        <v>55</v>
      </c>
      <c r="K8">
        <v>5</v>
      </c>
      <c r="L8">
        <v>0</v>
      </c>
      <c r="M8">
        <v>5</v>
      </c>
      <c r="N8">
        <v>0</v>
      </c>
      <c r="O8">
        <v>18.285321000003002</v>
      </c>
      <c r="U8">
        <v>10</v>
      </c>
      <c r="V8">
        <v>18.259298699995199</v>
      </c>
      <c r="W8">
        <v>18.285321000003002</v>
      </c>
      <c r="X8">
        <v>18.285321000003002</v>
      </c>
      <c r="Y8">
        <v>6.1333400022704099E-2</v>
      </c>
      <c r="Z8">
        <v>20.215598000009699</v>
      </c>
      <c r="AA8" t="s">
        <v>71</v>
      </c>
      <c r="AB8" t="s">
        <v>72</v>
      </c>
      <c r="AC8" t="s">
        <v>52</v>
      </c>
      <c r="AD8" t="s">
        <v>53</v>
      </c>
      <c r="AE8" t="s">
        <v>53</v>
      </c>
      <c r="AF8" t="s">
        <v>73</v>
      </c>
      <c r="AG8" t="s">
        <v>55</v>
      </c>
      <c r="AL8" t="s">
        <v>45</v>
      </c>
      <c r="AM8">
        <v>1</v>
      </c>
      <c r="AN8" t="s">
        <v>46</v>
      </c>
      <c r="AO8" t="s">
        <v>47</v>
      </c>
      <c r="AQ8" t="s">
        <v>48</v>
      </c>
      <c r="AR8">
        <v>60.014499505194401</v>
      </c>
      <c r="AS8" t="s">
        <v>49</v>
      </c>
    </row>
    <row r="9" spans="1:45" x14ac:dyDescent="0.35">
      <c r="A9">
        <v>6</v>
      </c>
      <c r="B9">
        <v>0</v>
      </c>
      <c r="C9">
        <v>6</v>
      </c>
      <c r="D9" t="s">
        <v>74</v>
      </c>
      <c r="E9" t="s">
        <v>75</v>
      </c>
      <c r="F9" t="s">
        <v>52</v>
      </c>
      <c r="G9" t="s">
        <v>53</v>
      </c>
      <c r="H9" t="s">
        <v>53</v>
      </c>
      <c r="I9" t="s">
        <v>76</v>
      </c>
      <c r="J9" t="s">
        <v>55</v>
      </c>
      <c r="K9">
        <v>6</v>
      </c>
      <c r="L9">
        <v>0</v>
      </c>
      <c r="M9">
        <v>6</v>
      </c>
      <c r="N9">
        <v>0</v>
      </c>
      <c r="O9">
        <v>20.287388600001499</v>
      </c>
      <c r="U9">
        <v>10</v>
      </c>
      <c r="V9">
        <v>20.2665415999945</v>
      </c>
      <c r="W9">
        <v>20.287388600001499</v>
      </c>
      <c r="X9">
        <v>20.287388600001499</v>
      </c>
      <c r="Y9">
        <v>5.0606600008904899E-2</v>
      </c>
      <c r="Z9">
        <v>21.5478425000037</v>
      </c>
      <c r="AA9" t="s">
        <v>74</v>
      </c>
      <c r="AB9" t="s">
        <v>75</v>
      </c>
      <c r="AC9" t="s">
        <v>52</v>
      </c>
      <c r="AD9" t="s">
        <v>53</v>
      </c>
      <c r="AE9" t="s">
        <v>53</v>
      </c>
      <c r="AF9" t="s">
        <v>76</v>
      </c>
      <c r="AG9" t="s">
        <v>55</v>
      </c>
      <c r="AL9" t="s">
        <v>45</v>
      </c>
      <c r="AM9">
        <v>1</v>
      </c>
      <c r="AN9" t="s">
        <v>46</v>
      </c>
      <c r="AO9" t="s">
        <v>47</v>
      </c>
      <c r="AQ9" t="s">
        <v>48</v>
      </c>
      <c r="AR9">
        <v>60.014499505194401</v>
      </c>
      <c r="AS9" t="s">
        <v>49</v>
      </c>
    </row>
    <row r="10" spans="1:45" x14ac:dyDescent="0.35">
      <c r="A10">
        <v>7</v>
      </c>
      <c r="B10">
        <v>0</v>
      </c>
      <c r="C10">
        <v>7</v>
      </c>
      <c r="D10" t="s">
        <v>77</v>
      </c>
      <c r="E10" t="s">
        <v>78</v>
      </c>
      <c r="F10" t="s">
        <v>52</v>
      </c>
      <c r="G10" t="s">
        <v>53</v>
      </c>
      <c r="H10" t="s">
        <v>53</v>
      </c>
      <c r="I10" t="s">
        <v>79</v>
      </c>
      <c r="J10" t="s">
        <v>55</v>
      </c>
      <c r="K10">
        <v>7</v>
      </c>
      <c r="L10">
        <v>0</v>
      </c>
      <c r="M10">
        <v>7</v>
      </c>
      <c r="N10">
        <v>0</v>
      </c>
      <c r="O10">
        <v>21.5854088999913</v>
      </c>
      <c r="U10">
        <v>5</v>
      </c>
      <c r="V10">
        <v>21.573496900004098</v>
      </c>
      <c r="W10">
        <v>21.5854088999913</v>
      </c>
      <c r="X10">
        <v>21.5854088999913</v>
      </c>
      <c r="Y10">
        <v>2.5305000017397099E-2</v>
      </c>
      <c r="Z10">
        <v>22.800249699997899</v>
      </c>
      <c r="AA10" t="s">
        <v>77</v>
      </c>
      <c r="AB10" t="s">
        <v>78</v>
      </c>
      <c r="AC10" t="s">
        <v>52</v>
      </c>
      <c r="AD10" t="s">
        <v>53</v>
      </c>
      <c r="AE10" t="s">
        <v>53</v>
      </c>
      <c r="AF10" t="s">
        <v>79</v>
      </c>
      <c r="AG10" t="s">
        <v>55</v>
      </c>
      <c r="AL10" t="s">
        <v>45</v>
      </c>
      <c r="AM10">
        <v>1</v>
      </c>
      <c r="AN10" t="s">
        <v>46</v>
      </c>
      <c r="AO10" t="s">
        <v>47</v>
      </c>
      <c r="AQ10" t="s">
        <v>48</v>
      </c>
      <c r="AR10">
        <v>60.014499505194401</v>
      </c>
      <c r="AS10" t="s">
        <v>49</v>
      </c>
    </row>
    <row r="11" spans="1:45" x14ac:dyDescent="0.35">
      <c r="A11">
        <v>8</v>
      </c>
      <c r="B11">
        <v>0</v>
      </c>
      <c r="C11">
        <v>8</v>
      </c>
      <c r="D11" t="s">
        <v>80</v>
      </c>
      <c r="E11" t="s">
        <v>81</v>
      </c>
      <c r="F11" t="s">
        <v>52</v>
      </c>
      <c r="G11" t="s">
        <v>53</v>
      </c>
      <c r="H11" t="s">
        <v>53</v>
      </c>
      <c r="I11" t="s">
        <v>82</v>
      </c>
      <c r="J11" t="s">
        <v>55</v>
      </c>
      <c r="K11">
        <v>8</v>
      </c>
      <c r="L11">
        <v>0</v>
      </c>
      <c r="M11">
        <v>8</v>
      </c>
      <c r="N11">
        <v>0</v>
      </c>
      <c r="O11">
        <v>22.868732900009402</v>
      </c>
      <c r="U11">
        <v>10</v>
      </c>
      <c r="V11">
        <v>22.850624099984898</v>
      </c>
      <c r="W11">
        <v>22.868732900009402</v>
      </c>
      <c r="X11">
        <v>22.868732900009402</v>
      </c>
      <c r="Y11">
        <v>5.0138999999035101E-2</v>
      </c>
      <c r="Z11">
        <v>24.4162079000088</v>
      </c>
      <c r="AA11" t="s">
        <v>80</v>
      </c>
      <c r="AB11" t="s">
        <v>81</v>
      </c>
      <c r="AC11" t="s">
        <v>52</v>
      </c>
      <c r="AD11" t="s">
        <v>53</v>
      </c>
      <c r="AE11" t="s">
        <v>53</v>
      </c>
      <c r="AF11" t="s">
        <v>82</v>
      </c>
      <c r="AG11" t="s">
        <v>55</v>
      </c>
      <c r="AL11" t="s">
        <v>45</v>
      </c>
      <c r="AM11">
        <v>1</v>
      </c>
      <c r="AN11" t="s">
        <v>46</v>
      </c>
      <c r="AO11" t="s">
        <v>47</v>
      </c>
      <c r="AQ11" t="s">
        <v>48</v>
      </c>
      <c r="AR11">
        <v>60.014499505194401</v>
      </c>
      <c r="AS11" t="s">
        <v>49</v>
      </c>
    </row>
    <row r="12" spans="1:45" x14ac:dyDescent="0.35">
      <c r="A12">
        <v>9</v>
      </c>
      <c r="B12">
        <v>0</v>
      </c>
      <c r="C12">
        <v>9</v>
      </c>
      <c r="D12" t="s">
        <v>83</v>
      </c>
      <c r="E12" t="s">
        <v>84</v>
      </c>
      <c r="F12" t="s">
        <v>52</v>
      </c>
      <c r="G12" t="s">
        <v>53</v>
      </c>
      <c r="H12" t="s">
        <v>53</v>
      </c>
      <c r="I12" t="s">
        <v>85</v>
      </c>
      <c r="J12" t="s">
        <v>55</v>
      </c>
      <c r="K12">
        <v>9</v>
      </c>
      <c r="L12">
        <v>0</v>
      </c>
      <c r="M12">
        <v>9</v>
      </c>
      <c r="N12">
        <v>0</v>
      </c>
      <c r="O12">
        <v>24.455072100012298</v>
      </c>
      <c r="U12">
        <v>5</v>
      </c>
      <c r="V12">
        <v>24.443303400010301</v>
      </c>
      <c r="W12">
        <v>24.455072100012298</v>
      </c>
      <c r="X12">
        <v>24.455072100012298</v>
      </c>
      <c r="Y12">
        <v>2.6710899983299799E-2</v>
      </c>
      <c r="Z12">
        <v>25.782075900002301</v>
      </c>
      <c r="AA12" t="s">
        <v>83</v>
      </c>
      <c r="AB12" t="s">
        <v>84</v>
      </c>
      <c r="AC12" t="s">
        <v>52</v>
      </c>
      <c r="AD12" t="s">
        <v>53</v>
      </c>
      <c r="AE12" t="s">
        <v>53</v>
      </c>
      <c r="AF12" t="s">
        <v>85</v>
      </c>
      <c r="AG12" t="s">
        <v>55</v>
      </c>
      <c r="AL12" t="s">
        <v>45</v>
      </c>
      <c r="AM12">
        <v>1</v>
      </c>
      <c r="AN12" t="s">
        <v>46</v>
      </c>
      <c r="AO12" t="s">
        <v>47</v>
      </c>
      <c r="AQ12" t="s">
        <v>48</v>
      </c>
      <c r="AR12">
        <v>60.014499505194401</v>
      </c>
      <c r="AS12" t="s">
        <v>49</v>
      </c>
    </row>
    <row r="13" spans="1:45" x14ac:dyDescent="0.35">
      <c r="A13">
        <v>10</v>
      </c>
      <c r="B13">
        <v>0</v>
      </c>
      <c r="C13">
        <v>10</v>
      </c>
      <c r="D13" t="s">
        <v>86</v>
      </c>
      <c r="E13" t="s">
        <v>87</v>
      </c>
      <c r="F13" t="s">
        <v>52</v>
      </c>
      <c r="G13" t="s">
        <v>53</v>
      </c>
      <c r="H13" t="s">
        <v>53</v>
      </c>
      <c r="I13" t="s">
        <v>88</v>
      </c>
      <c r="J13" t="s">
        <v>55</v>
      </c>
      <c r="K13">
        <v>10</v>
      </c>
      <c r="L13">
        <v>0</v>
      </c>
      <c r="M13">
        <v>10</v>
      </c>
      <c r="N13">
        <v>0</v>
      </c>
      <c r="O13">
        <v>25.870423299988001</v>
      </c>
      <c r="U13">
        <v>10</v>
      </c>
      <c r="V13">
        <v>25.842362800001801</v>
      </c>
      <c r="W13">
        <v>25.870423299988001</v>
      </c>
      <c r="X13">
        <v>25.870423299988001</v>
      </c>
      <c r="Y13">
        <v>6.00503000023309E-2</v>
      </c>
      <c r="Z13">
        <v>27.199473399988999</v>
      </c>
      <c r="AA13" t="s">
        <v>86</v>
      </c>
      <c r="AB13" t="s">
        <v>87</v>
      </c>
      <c r="AC13" t="s">
        <v>52</v>
      </c>
      <c r="AD13" t="s">
        <v>53</v>
      </c>
      <c r="AE13" t="s">
        <v>53</v>
      </c>
      <c r="AF13" t="s">
        <v>88</v>
      </c>
      <c r="AG13" t="s">
        <v>55</v>
      </c>
      <c r="AL13" t="s">
        <v>45</v>
      </c>
      <c r="AM13">
        <v>1</v>
      </c>
      <c r="AN13" t="s">
        <v>46</v>
      </c>
      <c r="AO13" t="s">
        <v>47</v>
      </c>
      <c r="AQ13" t="s">
        <v>48</v>
      </c>
      <c r="AR13">
        <v>60.014499505194401</v>
      </c>
      <c r="AS13" t="s">
        <v>49</v>
      </c>
    </row>
    <row r="14" spans="1:45" x14ac:dyDescent="0.35">
      <c r="A14">
        <v>11</v>
      </c>
      <c r="B14">
        <v>0</v>
      </c>
      <c r="C14">
        <v>11</v>
      </c>
      <c r="D14" t="s">
        <v>89</v>
      </c>
      <c r="E14" t="s">
        <v>90</v>
      </c>
      <c r="F14" t="s">
        <v>52</v>
      </c>
      <c r="G14" t="s">
        <v>53</v>
      </c>
      <c r="H14" t="s">
        <v>53</v>
      </c>
      <c r="I14" t="s">
        <v>91</v>
      </c>
      <c r="J14" t="s">
        <v>55</v>
      </c>
      <c r="K14">
        <v>11</v>
      </c>
      <c r="L14">
        <v>0</v>
      </c>
      <c r="M14">
        <v>11</v>
      </c>
      <c r="N14">
        <v>0</v>
      </c>
      <c r="O14">
        <v>27.236889399995501</v>
      </c>
      <c r="U14">
        <v>5</v>
      </c>
      <c r="V14">
        <v>27.2245445000007</v>
      </c>
      <c r="W14">
        <v>27.236889399995501</v>
      </c>
      <c r="X14">
        <v>27.236889399995501</v>
      </c>
      <c r="Y14">
        <v>2.4681399983819501E-2</v>
      </c>
      <c r="Z14">
        <v>28.3165061000036</v>
      </c>
      <c r="AA14" t="s">
        <v>89</v>
      </c>
      <c r="AB14" t="s">
        <v>90</v>
      </c>
      <c r="AC14" t="s">
        <v>52</v>
      </c>
      <c r="AD14" t="s">
        <v>53</v>
      </c>
      <c r="AE14" t="s">
        <v>53</v>
      </c>
      <c r="AF14" t="s">
        <v>91</v>
      </c>
      <c r="AG14" t="s">
        <v>55</v>
      </c>
      <c r="AL14" t="s">
        <v>45</v>
      </c>
      <c r="AM14">
        <v>1</v>
      </c>
      <c r="AN14" t="s">
        <v>46</v>
      </c>
      <c r="AO14" t="s">
        <v>47</v>
      </c>
      <c r="AQ14" t="s">
        <v>48</v>
      </c>
      <c r="AR14">
        <v>60.014499505194401</v>
      </c>
      <c r="AS14" t="s">
        <v>49</v>
      </c>
    </row>
    <row r="15" spans="1:45" x14ac:dyDescent="0.35">
      <c r="A15">
        <v>12</v>
      </c>
      <c r="B15">
        <v>0</v>
      </c>
      <c r="C15">
        <v>12</v>
      </c>
      <c r="D15" t="s">
        <v>92</v>
      </c>
      <c r="E15" t="s">
        <v>93</v>
      </c>
      <c r="F15" t="s">
        <v>58</v>
      </c>
      <c r="G15" t="s">
        <v>59</v>
      </c>
      <c r="H15" t="s">
        <v>59</v>
      </c>
      <c r="I15" t="s">
        <v>94</v>
      </c>
      <c r="J15" t="s">
        <v>61</v>
      </c>
      <c r="K15">
        <v>12</v>
      </c>
      <c r="L15">
        <v>0</v>
      </c>
      <c r="M15">
        <v>12</v>
      </c>
      <c r="N15">
        <v>0</v>
      </c>
      <c r="O15">
        <v>28.355898200010401</v>
      </c>
      <c r="U15">
        <v>5</v>
      </c>
      <c r="V15">
        <v>28.343890599993699</v>
      </c>
      <c r="W15">
        <v>28.355898200010401</v>
      </c>
      <c r="X15">
        <v>28.355898200010401</v>
      </c>
      <c r="Y15">
        <v>2.7071599994087502E-2</v>
      </c>
      <c r="Z15">
        <v>31.082653999998001</v>
      </c>
      <c r="AA15" t="s">
        <v>92</v>
      </c>
      <c r="AB15" t="s">
        <v>93</v>
      </c>
      <c r="AC15" t="s">
        <v>58</v>
      </c>
      <c r="AD15" t="s">
        <v>59</v>
      </c>
      <c r="AE15" t="s">
        <v>59</v>
      </c>
      <c r="AF15" t="s">
        <v>94</v>
      </c>
      <c r="AG15" t="s">
        <v>61</v>
      </c>
      <c r="AL15" t="s">
        <v>45</v>
      </c>
      <c r="AM15">
        <v>1</v>
      </c>
      <c r="AN15" t="s">
        <v>46</v>
      </c>
      <c r="AO15" t="s">
        <v>47</v>
      </c>
      <c r="AQ15" t="s">
        <v>48</v>
      </c>
      <c r="AR15">
        <v>60.014499505194401</v>
      </c>
      <c r="AS15" t="s">
        <v>49</v>
      </c>
    </row>
    <row r="16" spans="1:45" x14ac:dyDescent="0.35">
      <c r="A16">
        <v>13</v>
      </c>
      <c r="B16">
        <v>0</v>
      </c>
      <c r="C16">
        <v>13</v>
      </c>
      <c r="D16" t="s">
        <v>95</v>
      </c>
      <c r="E16" t="s">
        <v>96</v>
      </c>
      <c r="F16" t="s">
        <v>52</v>
      </c>
      <c r="G16" t="s">
        <v>53</v>
      </c>
      <c r="H16" t="s">
        <v>53</v>
      </c>
      <c r="I16" t="s">
        <v>97</v>
      </c>
      <c r="J16" t="s">
        <v>55</v>
      </c>
      <c r="K16">
        <v>13</v>
      </c>
      <c r="L16">
        <v>0</v>
      </c>
      <c r="M16">
        <v>13</v>
      </c>
      <c r="N16">
        <v>0</v>
      </c>
      <c r="O16">
        <v>31.173353399993999</v>
      </c>
      <c r="U16">
        <v>10</v>
      </c>
      <c r="V16">
        <v>31.147048999991899</v>
      </c>
      <c r="W16">
        <v>31.173353399993999</v>
      </c>
      <c r="X16">
        <v>31.173353399993999</v>
      </c>
      <c r="Y16">
        <v>6.41206000000238E-2</v>
      </c>
      <c r="Z16">
        <v>32.414318499999297</v>
      </c>
      <c r="AA16" t="s">
        <v>95</v>
      </c>
      <c r="AB16" t="s">
        <v>96</v>
      </c>
      <c r="AC16" t="s">
        <v>52</v>
      </c>
      <c r="AD16" t="s">
        <v>53</v>
      </c>
      <c r="AE16" t="s">
        <v>53</v>
      </c>
      <c r="AF16" t="s">
        <v>97</v>
      </c>
      <c r="AG16" t="s">
        <v>55</v>
      </c>
      <c r="AL16" t="s">
        <v>45</v>
      </c>
      <c r="AM16">
        <v>1</v>
      </c>
      <c r="AN16" t="s">
        <v>46</v>
      </c>
      <c r="AO16" t="s">
        <v>47</v>
      </c>
      <c r="AQ16" t="s">
        <v>48</v>
      </c>
      <c r="AR16">
        <v>60.014499505194401</v>
      </c>
      <c r="AS16" t="s">
        <v>49</v>
      </c>
    </row>
    <row r="17" spans="1:45" x14ac:dyDescent="0.35">
      <c r="A17">
        <v>14</v>
      </c>
      <c r="B17">
        <v>0</v>
      </c>
      <c r="C17">
        <v>14</v>
      </c>
      <c r="D17" t="s">
        <v>98</v>
      </c>
      <c r="E17" t="s">
        <v>99</v>
      </c>
      <c r="F17" t="s">
        <v>52</v>
      </c>
      <c r="G17" t="s">
        <v>53</v>
      </c>
      <c r="H17" t="s">
        <v>53</v>
      </c>
      <c r="I17" t="s">
        <v>100</v>
      </c>
      <c r="J17" t="s">
        <v>55</v>
      </c>
      <c r="K17">
        <v>14</v>
      </c>
      <c r="L17">
        <v>0</v>
      </c>
      <c r="M17">
        <v>14</v>
      </c>
      <c r="N17">
        <v>0</v>
      </c>
      <c r="O17">
        <v>32.4811481999931</v>
      </c>
      <c r="U17">
        <v>10</v>
      </c>
      <c r="V17">
        <v>32.463130799995199</v>
      </c>
      <c r="W17">
        <v>32.4811481999931</v>
      </c>
      <c r="X17">
        <v>32.4811481999931</v>
      </c>
      <c r="Y17">
        <v>4.8515400005271603E-2</v>
      </c>
      <c r="Z17">
        <v>33.933205899986199</v>
      </c>
      <c r="AA17" t="s">
        <v>98</v>
      </c>
      <c r="AB17" t="s">
        <v>99</v>
      </c>
      <c r="AC17" t="s">
        <v>52</v>
      </c>
      <c r="AD17" t="s">
        <v>53</v>
      </c>
      <c r="AE17" t="s">
        <v>53</v>
      </c>
      <c r="AF17" t="s">
        <v>100</v>
      </c>
      <c r="AG17" t="s">
        <v>55</v>
      </c>
      <c r="AL17" t="s">
        <v>45</v>
      </c>
      <c r="AM17">
        <v>1</v>
      </c>
      <c r="AN17" t="s">
        <v>46</v>
      </c>
      <c r="AO17" t="s">
        <v>47</v>
      </c>
      <c r="AQ17" t="s">
        <v>48</v>
      </c>
      <c r="AR17">
        <v>60.014499505194401</v>
      </c>
      <c r="AS17" t="s">
        <v>49</v>
      </c>
    </row>
    <row r="18" spans="1:45" x14ac:dyDescent="0.35">
      <c r="A18">
        <v>15</v>
      </c>
      <c r="B18">
        <v>0</v>
      </c>
      <c r="C18">
        <v>15</v>
      </c>
      <c r="D18" t="s">
        <v>101</v>
      </c>
      <c r="E18" t="s">
        <v>102</v>
      </c>
      <c r="F18" t="s">
        <v>52</v>
      </c>
      <c r="G18" t="s">
        <v>53</v>
      </c>
      <c r="H18" t="s">
        <v>53</v>
      </c>
      <c r="I18" t="s">
        <v>103</v>
      </c>
      <c r="J18" t="s">
        <v>55</v>
      </c>
      <c r="K18">
        <v>15</v>
      </c>
      <c r="L18">
        <v>0</v>
      </c>
      <c r="M18">
        <v>15</v>
      </c>
      <c r="N18">
        <v>0</v>
      </c>
      <c r="O18">
        <v>33.972408500005201</v>
      </c>
      <c r="U18">
        <v>5</v>
      </c>
      <c r="V18">
        <v>33.961719099985203</v>
      </c>
      <c r="W18">
        <v>33.972408500005201</v>
      </c>
      <c r="X18">
        <v>33.972408500005201</v>
      </c>
      <c r="Y18">
        <v>2.8095700021367499E-2</v>
      </c>
      <c r="Z18">
        <v>35.197745199984602</v>
      </c>
      <c r="AA18" t="s">
        <v>101</v>
      </c>
      <c r="AB18" t="s">
        <v>102</v>
      </c>
      <c r="AC18" t="s">
        <v>52</v>
      </c>
      <c r="AD18" t="s">
        <v>53</v>
      </c>
      <c r="AE18" t="s">
        <v>53</v>
      </c>
      <c r="AF18" t="s">
        <v>103</v>
      </c>
      <c r="AG18" t="s">
        <v>55</v>
      </c>
      <c r="AL18" t="s">
        <v>45</v>
      </c>
      <c r="AM18">
        <v>1</v>
      </c>
      <c r="AN18" t="s">
        <v>46</v>
      </c>
      <c r="AO18" t="s">
        <v>47</v>
      </c>
      <c r="AQ18" t="s">
        <v>48</v>
      </c>
      <c r="AR18">
        <v>60.014499505194401</v>
      </c>
      <c r="AS18" t="s">
        <v>49</v>
      </c>
    </row>
    <row r="19" spans="1:45" x14ac:dyDescent="0.35">
      <c r="A19">
        <v>16</v>
      </c>
      <c r="B19">
        <v>0</v>
      </c>
      <c r="C19">
        <v>16</v>
      </c>
      <c r="D19" t="s">
        <v>104</v>
      </c>
      <c r="E19" t="s">
        <v>105</v>
      </c>
      <c r="F19" t="s">
        <v>52</v>
      </c>
      <c r="G19" t="s">
        <v>53</v>
      </c>
      <c r="H19" t="s">
        <v>53</v>
      </c>
      <c r="I19" t="s">
        <v>106</v>
      </c>
      <c r="J19" t="s">
        <v>55</v>
      </c>
      <c r="K19">
        <v>16</v>
      </c>
      <c r="L19">
        <v>0</v>
      </c>
      <c r="M19">
        <v>16</v>
      </c>
      <c r="N19">
        <v>0</v>
      </c>
      <c r="O19">
        <v>35.236142699985002</v>
      </c>
      <c r="U19">
        <v>5</v>
      </c>
      <c r="V19">
        <v>35.223432700004103</v>
      </c>
      <c r="W19">
        <v>35.236142699985002</v>
      </c>
      <c r="X19">
        <v>35.236142699985002</v>
      </c>
      <c r="Y19">
        <v>2.53966999880503E-2</v>
      </c>
      <c r="Z19">
        <v>36.616160000005003</v>
      </c>
      <c r="AA19" t="s">
        <v>104</v>
      </c>
      <c r="AB19" t="s">
        <v>105</v>
      </c>
      <c r="AC19" t="s">
        <v>52</v>
      </c>
      <c r="AD19" t="s">
        <v>53</v>
      </c>
      <c r="AE19" t="s">
        <v>53</v>
      </c>
      <c r="AF19" t="s">
        <v>106</v>
      </c>
      <c r="AG19" t="s">
        <v>55</v>
      </c>
      <c r="AL19" t="s">
        <v>45</v>
      </c>
      <c r="AM19">
        <v>1</v>
      </c>
      <c r="AN19" t="s">
        <v>46</v>
      </c>
      <c r="AO19" t="s">
        <v>47</v>
      </c>
      <c r="AQ19" t="s">
        <v>48</v>
      </c>
      <c r="AR19">
        <v>60.014499505194401</v>
      </c>
      <c r="AS19" t="s">
        <v>49</v>
      </c>
    </row>
    <row r="20" spans="1:45" x14ac:dyDescent="0.35">
      <c r="A20">
        <v>17</v>
      </c>
      <c r="B20">
        <v>0</v>
      </c>
      <c r="C20">
        <v>17</v>
      </c>
      <c r="D20" t="s">
        <v>107</v>
      </c>
      <c r="E20" t="s">
        <v>108</v>
      </c>
      <c r="F20" t="s">
        <v>52</v>
      </c>
      <c r="G20" t="s">
        <v>53</v>
      </c>
      <c r="H20" t="s">
        <v>53</v>
      </c>
      <c r="I20" t="s">
        <v>109</v>
      </c>
      <c r="J20" t="s">
        <v>55</v>
      </c>
      <c r="K20">
        <v>17</v>
      </c>
      <c r="L20">
        <v>0</v>
      </c>
      <c r="M20">
        <v>17</v>
      </c>
      <c r="N20">
        <v>0</v>
      </c>
      <c r="O20">
        <v>36.6829382999858</v>
      </c>
      <c r="U20">
        <v>10</v>
      </c>
      <c r="V20">
        <v>36.665791300008998</v>
      </c>
      <c r="W20">
        <v>36.6829382999858</v>
      </c>
      <c r="X20">
        <v>36.6829382999858</v>
      </c>
      <c r="Y20">
        <v>4.9344400002155397E-2</v>
      </c>
      <c r="Z20">
        <v>37.814036499999901</v>
      </c>
      <c r="AA20" t="s">
        <v>107</v>
      </c>
      <c r="AB20" t="s">
        <v>108</v>
      </c>
      <c r="AC20" t="s">
        <v>52</v>
      </c>
      <c r="AD20" t="s">
        <v>53</v>
      </c>
      <c r="AE20" t="s">
        <v>53</v>
      </c>
      <c r="AF20" t="s">
        <v>109</v>
      </c>
      <c r="AG20" t="s">
        <v>55</v>
      </c>
      <c r="AL20" t="s">
        <v>45</v>
      </c>
      <c r="AM20">
        <v>1</v>
      </c>
      <c r="AN20" t="s">
        <v>46</v>
      </c>
      <c r="AO20" t="s">
        <v>47</v>
      </c>
      <c r="AQ20" t="s">
        <v>48</v>
      </c>
      <c r="AR20">
        <v>60.014499505194401</v>
      </c>
      <c r="AS20" t="s">
        <v>49</v>
      </c>
    </row>
    <row r="21" spans="1:45" x14ac:dyDescent="0.35">
      <c r="A21">
        <v>18</v>
      </c>
      <c r="B21">
        <v>0</v>
      </c>
      <c r="C21">
        <v>18</v>
      </c>
      <c r="D21" t="s">
        <v>110</v>
      </c>
      <c r="E21" t="s">
        <v>111</v>
      </c>
      <c r="F21" t="s">
        <v>52</v>
      </c>
      <c r="G21" t="s">
        <v>53</v>
      </c>
      <c r="H21" t="s">
        <v>53</v>
      </c>
      <c r="I21" t="s">
        <v>112</v>
      </c>
      <c r="J21" t="s">
        <v>55</v>
      </c>
      <c r="K21">
        <v>18</v>
      </c>
      <c r="L21">
        <v>0</v>
      </c>
      <c r="M21">
        <v>18</v>
      </c>
      <c r="N21">
        <v>0</v>
      </c>
      <c r="O21">
        <v>37.852224200003498</v>
      </c>
      <c r="U21">
        <v>5</v>
      </c>
      <c r="V21">
        <v>37.839579799998297</v>
      </c>
      <c r="W21">
        <v>37.852224200003498</v>
      </c>
      <c r="X21">
        <v>37.852224200003498</v>
      </c>
      <c r="Y21">
        <v>2.5185400008922401E-2</v>
      </c>
      <c r="Z21">
        <v>38.864508099999497</v>
      </c>
      <c r="AA21" t="s">
        <v>110</v>
      </c>
      <c r="AB21" t="s">
        <v>111</v>
      </c>
      <c r="AC21" t="s">
        <v>52</v>
      </c>
      <c r="AD21" t="s">
        <v>53</v>
      </c>
      <c r="AE21" t="s">
        <v>53</v>
      </c>
      <c r="AF21" t="s">
        <v>112</v>
      </c>
      <c r="AG21" t="s">
        <v>55</v>
      </c>
      <c r="AL21" t="s">
        <v>45</v>
      </c>
      <c r="AM21">
        <v>1</v>
      </c>
      <c r="AN21" t="s">
        <v>46</v>
      </c>
      <c r="AO21" t="s">
        <v>47</v>
      </c>
      <c r="AQ21" t="s">
        <v>48</v>
      </c>
      <c r="AR21">
        <v>60.014499505194401</v>
      </c>
      <c r="AS21" t="s">
        <v>49</v>
      </c>
    </row>
    <row r="22" spans="1:45" x14ac:dyDescent="0.35">
      <c r="A22">
        <v>19</v>
      </c>
      <c r="B22">
        <v>0</v>
      </c>
      <c r="C22">
        <v>19</v>
      </c>
      <c r="D22" t="s">
        <v>113</v>
      </c>
      <c r="E22" t="s">
        <v>114</v>
      </c>
      <c r="F22" t="s">
        <v>52</v>
      </c>
      <c r="G22" t="s">
        <v>53</v>
      </c>
      <c r="H22" t="s">
        <v>53</v>
      </c>
      <c r="I22" t="s">
        <v>115</v>
      </c>
      <c r="J22" t="s">
        <v>55</v>
      </c>
      <c r="K22">
        <v>19</v>
      </c>
      <c r="L22">
        <v>0</v>
      </c>
      <c r="M22">
        <v>19</v>
      </c>
      <c r="N22">
        <v>0</v>
      </c>
      <c r="O22">
        <v>38.931721900007602</v>
      </c>
      <c r="U22">
        <v>10</v>
      </c>
      <c r="V22">
        <v>38.912376599997501</v>
      </c>
      <c r="W22">
        <v>38.931721900007602</v>
      </c>
      <c r="X22">
        <v>38.931721900007602</v>
      </c>
      <c r="Y22">
        <v>4.7596799995517303E-2</v>
      </c>
      <c r="Z22">
        <v>40.263932800007701</v>
      </c>
      <c r="AA22" t="s">
        <v>113</v>
      </c>
      <c r="AB22" t="s">
        <v>114</v>
      </c>
      <c r="AC22" t="s">
        <v>52</v>
      </c>
      <c r="AD22" t="s">
        <v>53</v>
      </c>
      <c r="AE22" t="s">
        <v>53</v>
      </c>
      <c r="AF22" t="s">
        <v>115</v>
      </c>
      <c r="AG22" t="s">
        <v>55</v>
      </c>
      <c r="AL22" t="s">
        <v>45</v>
      </c>
      <c r="AM22">
        <v>1</v>
      </c>
      <c r="AN22" t="s">
        <v>46</v>
      </c>
      <c r="AO22" t="s">
        <v>47</v>
      </c>
      <c r="AQ22" t="s">
        <v>48</v>
      </c>
      <c r="AR22">
        <v>60.014499505194401</v>
      </c>
      <c r="AS22" t="s">
        <v>49</v>
      </c>
    </row>
    <row r="23" spans="1:45" x14ac:dyDescent="0.35">
      <c r="A23">
        <v>20</v>
      </c>
      <c r="B23">
        <v>0</v>
      </c>
      <c r="C23">
        <v>20</v>
      </c>
      <c r="D23" t="s">
        <v>116</v>
      </c>
      <c r="E23" t="s">
        <v>117</v>
      </c>
      <c r="F23" t="s">
        <v>52</v>
      </c>
      <c r="G23" t="s">
        <v>53</v>
      </c>
      <c r="H23" t="s">
        <v>53</v>
      </c>
      <c r="I23" t="s">
        <v>118</v>
      </c>
      <c r="J23" t="s">
        <v>55</v>
      </c>
      <c r="K23">
        <v>20</v>
      </c>
      <c r="L23">
        <v>0</v>
      </c>
      <c r="M23">
        <v>20</v>
      </c>
      <c r="N23">
        <v>0</v>
      </c>
      <c r="O23">
        <v>40.300667700008397</v>
      </c>
      <c r="U23">
        <v>5</v>
      </c>
      <c r="V23">
        <v>40.288244600000297</v>
      </c>
      <c r="W23">
        <v>40.300667700008397</v>
      </c>
      <c r="X23">
        <v>40.300667700008397</v>
      </c>
      <c r="Y23">
        <v>2.3960499995155201E-2</v>
      </c>
      <c r="Z23">
        <v>41.830650099989697</v>
      </c>
      <c r="AA23" t="s">
        <v>116</v>
      </c>
      <c r="AB23" t="s">
        <v>117</v>
      </c>
      <c r="AC23" t="s">
        <v>52</v>
      </c>
      <c r="AD23" t="s">
        <v>53</v>
      </c>
      <c r="AE23" t="s">
        <v>53</v>
      </c>
      <c r="AF23" t="s">
        <v>118</v>
      </c>
      <c r="AG23" t="s">
        <v>55</v>
      </c>
      <c r="AL23" t="s">
        <v>45</v>
      </c>
      <c r="AM23">
        <v>1</v>
      </c>
      <c r="AN23" t="s">
        <v>46</v>
      </c>
      <c r="AO23" t="s">
        <v>47</v>
      </c>
      <c r="AQ23" t="s">
        <v>48</v>
      </c>
      <c r="AR23">
        <v>60.014499505194401</v>
      </c>
      <c r="AS23" t="s">
        <v>49</v>
      </c>
    </row>
    <row r="24" spans="1:45" x14ac:dyDescent="0.35">
      <c r="A24">
        <v>21</v>
      </c>
      <c r="B24">
        <v>0</v>
      </c>
      <c r="C24">
        <v>21</v>
      </c>
      <c r="D24" t="s">
        <v>119</v>
      </c>
      <c r="E24" t="s">
        <v>120</v>
      </c>
      <c r="F24" t="s">
        <v>52</v>
      </c>
      <c r="G24" t="s">
        <v>53</v>
      </c>
      <c r="H24" t="s">
        <v>53</v>
      </c>
      <c r="I24" t="s">
        <v>121</v>
      </c>
      <c r="J24" t="s">
        <v>55</v>
      </c>
      <c r="K24">
        <v>21</v>
      </c>
      <c r="L24">
        <v>0</v>
      </c>
      <c r="M24">
        <v>21</v>
      </c>
      <c r="N24">
        <v>0</v>
      </c>
      <c r="O24">
        <v>41.9252522999886</v>
      </c>
      <c r="U24">
        <v>10</v>
      </c>
      <c r="V24">
        <v>41.896637199999503</v>
      </c>
      <c r="W24">
        <v>41.9252522999886</v>
      </c>
      <c r="X24">
        <v>41.9252522999886</v>
      </c>
      <c r="Y24">
        <v>6.5679699997417601E-2</v>
      </c>
      <c r="Z24">
        <v>43.082668099988901</v>
      </c>
      <c r="AA24" t="s">
        <v>119</v>
      </c>
      <c r="AB24" t="s">
        <v>120</v>
      </c>
      <c r="AC24" t="s">
        <v>52</v>
      </c>
      <c r="AD24" t="s">
        <v>53</v>
      </c>
      <c r="AE24" t="s">
        <v>53</v>
      </c>
      <c r="AF24" t="s">
        <v>121</v>
      </c>
      <c r="AG24" t="s">
        <v>55</v>
      </c>
      <c r="AL24" t="s">
        <v>45</v>
      </c>
      <c r="AM24">
        <v>1</v>
      </c>
      <c r="AN24" t="s">
        <v>46</v>
      </c>
      <c r="AO24" t="s">
        <v>47</v>
      </c>
      <c r="AQ24" t="s">
        <v>48</v>
      </c>
      <c r="AR24">
        <v>60.014499505194401</v>
      </c>
      <c r="AS24" t="s">
        <v>49</v>
      </c>
    </row>
    <row r="25" spans="1:45" x14ac:dyDescent="0.35">
      <c r="A25">
        <v>22</v>
      </c>
      <c r="B25">
        <v>0</v>
      </c>
      <c r="C25">
        <v>22</v>
      </c>
      <c r="D25" t="s">
        <v>122</v>
      </c>
      <c r="E25" t="s">
        <v>123</v>
      </c>
      <c r="F25" t="s">
        <v>52</v>
      </c>
      <c r="G25" t="s">
        <v>53</v>
      </c>
      <c r="H25" t="s">
        <v>53</v>
      </c>
      <c r="I25" t="s">
        <v>124</v>
      </c>
      <c r="J25" t="s">
        <v>55</v>
      </c>
      <c r="K25">
        <v>22</v>
      </c>
      <c r="L25">
        <v>0</v>
      </c>
      <c r="M25">
        <v>22</v>
      </c>
      <c r="N25">
        <v>0</v>
      </c>
      <c r="O25">
        <v>43.122539800009598</v>
      </c>
      <c r="U25">
        <v>5</v>
      </c>
      <c r="V25">
        <v>43.110610400006401</v>
      </c>
      <c r="W25">
        <v>43.122539800009598</v>
      </c>
      <c r="X25">
        <v>43.122539800009598</v>
      </c>
      <c r="Y25">
        <v>2.7613799989921899E-2</v>
      </c>
      <c r="Z25">
        <v>44.316053199989199</v>
      </c>
      <c r="AA25" t="s">
        <v>122</v>
      </c>
      <c r="AB25" t="s">
        <v>123</v>
      </c>
      <c r="AC25" t="s">
        <v>52</v>
      </c>
      <c r="AD25" t="s">
        <v>53</v>
      </c>
      <c r="AE25" t="s">
        <v>53</v>
      </c>
      <c r="AF25" t="s">
        <v>124</v>
      </c>
      <c r="AG25" t="s">
        <v>55</v>
      </c>
      <c r="AL25" t="s">
        <v>45</v>
      </c>
      <c r="AM25">
        <v>1</v>
      </c>
      <c r="AN25" t="s">
        <v>46</v>
      </c>
      <c r="AO25" t="s">
        <v>47</v>
      </c>
      <c r="AQ25" t="s">
        <v>48</v>
      </c>
      <c r="AR25">
        <v>60.014499505194401</v>
      </c>
      <c r="AS25" t="s">
        <v>49</v>
      </c>
    </row>
    <row r="26" spans="1:45" x14ac:dyDescent="0.35">
      <c r="A26">
        <v>23</v>
      </c>
      <c r="B26">
        <v>0</v>
      </c>
      <c r="C26">
        <v>23</v>
      </c>
      <c r="D26" t="s">
        <v>125</v>
      </c>
      <c r="E26" t="s">
        <v>126</v>
      </c>
      <c r="F26" t="s">
        <v>52</v>
      </c>
      <c r="G26" t="s">
        <v>53</v>
      </c>
      <c r="H26" t="s">
        <v>53</v>
      </c>
      <c r="I26" t="s">
        <v>127</v>
      </c>
      <c r="J26" t="s">
        <v>55</v>
      </c>
      <c r="K26">
        <v>23</v>
      </c>
      <c r="L26">
        <v>0</v>
      </c>
      <c r="M26">
        <v>23</v>
      </c>
      <c r="N26">
        <v>0</v>
      </c>
      <c r="O26">
        <v>44.392111799999803</v>
      </c>
      <c r="U26">
        <v>10</v>
      </c>
      <c r="V26">
        <v>44.366383599990499</v>
      </c>
      <c r="W26">
        <v>44.392111799999803</v>
      </c>
      <c r="X26">
        <v>44.392111799999803</v>
      </c>
      <c r="Y26">
        <v>5.0170200003776699E-2</v>
      </c>
      <c r="Z26">
        <v>46.198645700001997</v>
      </c>
      <c r="AA26" t="s">
        <v>125</v>
      </c>
      <c r="AB26" t="s">
        <v>126</v>
      </c>
      <c r="AC26" t="s">
        <v>52</v>
      </c>
      <c r="AD26" t="s">
        <v>53</v>
      </c>
      <c r="AE26" t="s">
        <v>53</v>
      </c>
      <c r="AF26" t="s">
        <v>127</v>
      </c>
      <c r="AG26" t="s">
        <v>55</v>
      </c>
      <c r="AL26" t="s">
        <v>45</v>
      </c>
      <c r="AM26">
        <v>1</v>
      </c>
      <c r="AN26" t="s">
        <v>46</v>
      </c>
      <c r="AO26" t="s">
        <v>47</v>
      </c>
      <c r="AQ26" t="s">
        <v>48</v>
      </c>
      <c r="AR26">
        <v>60.014499505194401</v>
      </c>
      <c r="AS26" t="s">
        <v>49</v>
      </c>
    </row>
    <row r="27" spans="1:45" x14ac:dyDescent="0.35">
      <c r="A27">
        <v>24</v>
      </c>
      <c r="B27">
        <v>0</v>
      </c>
      <c r="C27">
        <v>24</v>
      </c>
      <c r="D27" t="s">
        <v>128</v>
      </c>
      <c r="E27" t="s">
        <v>129</v>
      </c>
      <c r="F27" t="s">
        <v>58</v>
      </c>
      <c r="G27" t="s">
        <v>59</v>
      </c>
      <c r="H27" t="s">
        <v>59</v>
      </c>
      <c r="I27" t="s">
        <v>130</v>
      </c>
      <c r="J27" t="s">
        <v>61</v>
      </c>
      <c r="K27">
        <v>24</v>
      </c>
      <c r="L27">
        <v>0</v>
      </c>
      <c r="M27">
        <v>24</v>
      </c>
      <c r="N27">
        <v>0</v>
      </c>
      <c r="O27">
        <v>46.279128900001503</v>
      </c>
      <c r="U27">
        <v>10</v>
      </c>
      <c r="V27">
        <v>46.255972999991997</v>
      </c>
      <c r="W27">
        <v>46.279128900001503</v>
      </c>
      <c r="X27">
        <v>46.279128900001503</v>
      </c>
      <c r="Y27">
        <v>5.6959499983349801E-2</v>
      </c>
      <c r="Z27">
        <v>48.9314804000023</v>
      </c>
      <c r="AA27" t="s">
        <v>128</v>
      </c>
      <c r="AB27" t="s">
        <v>129</v>
      </c>
      <c r="AC27" t="s">
        <v>58</v>
      </c>
      <c r="AD27" t="s">
        <v>59</v>
      </c>
      <c r="AE27" t="s">
        <v>59</v>
      </c>
      <c r="AF27" t="s">
        <v>130</v>
      </c>
      <c r="AG27" t="s">
        <v>61</v>
      </c>
      <c r="AL27" t="s">
        <v>45</v>
      </c>
      <c r="AM27">
        <v>1</v>
      </c>
      <c r="AN27" t="s">
        <v>46</v>
      </c>
      <c r="AO27" t="s">
        <v>47</v>
      </c>
      <c r="AQ27" t="s">
        <v>48</v>
      </c>
      <c r="AR27">
        <v>60.014499505194401</v>
      </c>
      <c r="AS27" t="s">
        <v>49</v>
      </c>
    </row>
    <row r="28" spans="1:45" x14ac:dyDescent="0.35">
      <c r="A28">
        <v>25</v>
      </c>
      <c r="B28">
        <v>0</v>
      </c>
      <c r="C28">
        <v>25</v>
      </c>
      <c r="D28" t="s">
        <v>131</v>
      </c>
      <c r="E28" t="s">
        <v>132</v>
      </c>
      <c r="F28" t="s">
        <v>52</v>
      </c>
      <c r="G28" t="s">
        <v>53</v>
      </c>
      <c r="H28" t="s">
        <v>53</v>
      </c>
      <c r="I28" t="s">
        <v>133</v>
      </c>
      <c r="J28" t="s">
        <v>55</v>
      </c>
      <c r="K28">
        <v>25</v>
      </c>
      <c r="L28">
        <v>0</v>
      </c>
      <c r="M28">
        <v>25</v>
      </c>
      <c r="N28">
        <v>0</v>
      </c>
      <c r="O28">
        <v>49.022506699984604</v>
      </c>
      <c r="U28">
        <v>10</v>
      </c>
      <c r="V28">
        <v>48.995589099999002</v>
      </c>
      <c r="W28">
        <v>49.022506699984604</v>
      </c>
      <c r="X28">
        <v>49.022506699984604</v>
      </c>
      <c r="Y28">
        <v>6.38569000002462E-2</v>
      </c>
      <c r="Z28">
        <v>50.431797199998897</v>
      </c>
      <c r="AA28" t="s">
        <v>131</v>
      </c>
      <c r="AB28" t="s">
        <v>132</v>
      </c>
      <c r="AC28" t="s">
        <v>52</v>
      </c>
      <c r="AD28" t="s">
        <v>53</v>
      </c>
      <c r="AE28" t="s">
        <v>53</v>
      </c>
      <c r="AF28" t="s">
        <v>133</v>
      </c>
      <c r="AG28" t="s">
        <v>55</v>
      </c>
      <c r="AL28" t="s">
        <v>45</v>
      </c>
      <c r="AM28">
        <v>1</v>
      </c>
      <c r="AN28" t="s">
        <v>46</v>
      </c>
      <c r="AO28" t="s">
        <v>47</v>
      </c>
      <c r="AQ28" t="s">
        <v>48</v>
      </c>
      <c r="AR28">
        <v>60.014499505194401</v>
      </c>
      <c r="AS28" t="s">
        <v>49</v>
      </c>
    </row>
    <row r="29" spans="1:45" x14ac:dyDescent="0.35">
      <c r="A29">
        <v>26</v>
      </c>
      <c r="B29">
        <v>0</v>
      </c>
      <c r="C29">
        <v>26</v>
      </c>
      <c r="D29" t="s">
        <v>134</v>
      </c>
      <c r="E29" t="s">
        <v>135</v>
      </c>
      <c r="F29" t="s">
        <v>52</v>
      </c>
      <c r="G29" t="s">
        <v>53</v>
      </c>
      <c r="H29" t="s">
        <v>53</v>
      </c>
      <c r="I29" t="s">
        <v>136</v>
      </c>
      <c r="J29" t="s">
        <v>55</v>
      </c>
      <c r="K29">
        <v>26</v>
      </c>
      <c r="L29">
        <v>0</v>
      </c>
      <c r="M29">
        <v>26</v>
      </c>
      <c r="N29">
        <v>0</v>
      </c>
      <c r="O29">
        <v>50.530950399988797</v>
      </c>
      <c r="U29">
        <v>10</v>
      </c>
      <c r="V29">
        <v>50.502703900012399</v>
      </c>
      <c r="W29">
        <v>50.530950399988797</v>
      </c>
      <c r="X29">
        <v>50.530950399988797</v>
      </c>
      <c r="Y29">
        <v>7.0598999998764997E-2</v>
      </c>
      <c r="Z29">
        <v>51.665811099985099</v>
      </c>
      <c r="AA29" t="s">
        <v>134</v>
      </c>
      <c r="AB29" t="s">
        <v>135</v>
      </c>
      <c r="AC29" t="s">
        <v>52</v>
      </c>
      <c r="AD29" t="s">
        <v>53</v>
      </c>
      <c r="AE29" t="s">
        <v>53</v>
      </c>
      <c r="AF29" t="s">
        <v>136</v>
      </c>
      <c r="AG29" t="s">
        <v>55</v>
      </c>
      <c r="AL29" t="s">
        <v>45</v>
      </c>
      <c r="AM29">
        <v>1</v>
      </c>
      <c r="AN29" t="s">
        <v>46</v>
      </c>
      <c r="AO29" t="s">
        <v>47</v>
      </c>
      <c r="AQ29" t="s">
        <v>48</v>
      </c>
      <c r="AR29">
        <v>60.014499505194401</v>
      </c>
      <c r="AS29" t="s">
        <v>49</v>
      </c>
    </row>
    <row r="30" spans="1:45" x14ac:dyDescent="0.35">
      <c r="A30">
        <v>27</v>
      </c>
      <c r="B30">
        <v>0</v>
      </c>
      <c r="C30">
        <v>27</v>
      </c>
      <c r="D30" t="s">
        <v>137</v>
      </c>
      <c r="E30" t="s">
        <v>138</v>
      </c>
      <c r="F30" t="s">
        <v>52</v>
      </c>
      <c r="G30" t="s">
        <v>53</v>
      </c>
      <c r="H30" t="s">
        <v>53</v>
      </c>
      <c r="I30" t="s">
        <v>139</v>
      </c>
      <c r="J30" t="s">
        <v>55</v>
      </c>
      <c r="K30">
        <v>27</v>
      </c>
      <c r="L30">
        <v>0</v>
      </c>
      <c r="M30">
        <v>27</v>
      </c>
      <c r="N30">
        <v>0</v>
      </c>
      <c r="O30">
        <v>51.704476499988203</v>
      </c>
      <c r="U30">
        <v>5</v>
      </c>
      <c r="V30">
        <v>51.692605199990702</v>
      </c>
      <c r="W30">
        <v>51.704476499988203</v>
      </c>
      <c r="X30">
        <v>51.704476499988203</v>
      </c>
      <c r="Y30">
        <v>2.6476400002138599E-2</v>
      </c>
      <c r="Z30">
        <v>52.781742499995701</v>
      </c>
      <c r="AA30" t="s">
        <v>137</v>
      </c>
      <c r="AB30" t="s">
        <v>138</v>
      </c>
      <c r="AC30" t="s">
        <v>52</v>
      </c>
      <c r="AD30" t="s">
        <v>53</v>
      </c>
      <c r="AE30" t="s">
        <v>53</v>
      </c>
      <c r="AF30" t="s">
        <v>139</v>
      </c>
      <c r="AG30" t="s">
        <v>55</v>
      </c>
      <c r="AL30" t="s">
        <v>45</v>
      </c>
      <c r="AM30">
        <v>1</v>
      </c>
      <c r="AN30" t="s">
        <v>46</v>
      </c>
      <c r="AO30" t="s">
        <v>47</v>
      </c>
      <c r="AQ30" t="s">
        <v>48</v>
      </c>
      <c r="AR30">
        <v>60.014499505194401</v>
      </c>
      <c r="AS30" t="s">
        <v>49</v>
      </c>
    </row>
    <row r="31" spans="1:45" x14ac:dyDescent="0.35">
      <c r="A31">
        <v>28</v>
      </c>
      <c r="B31">
        <v>0</v>
      </c>
      <c r="C31">
        <v>28</v>
      </c>
      <c r="D31" t="s">
        <v>140</v>
      </c>
      <c r="E31" t="s">
        <v>141</v>
      </c>
      <c r="F31" t="s">
        <v>52</v>
      </c>
      <c r="G31" t="s">
        <v>53</v>
      </c>
      <c r="H31" t="s">
        <v>53</v>
      </c>
      <c r="I31" t="s">
        <v>142</v>
      </c>
      <c r="J31" t="s">
        <v>55</v>
      </c>
      <c r="K31">
        <v>28</v>
      </c>
      <c r="L31">
        <v>0</v>
      </c>
      <c r="M31">
        <v>28</v>
      </c>
      <c r="N31">
        <v>0</v>
      </c>
      <c r="O31">
        <v>52.825363699987001</v>
      </c>
      <c r="U31">
        <v>5</v>
      </c>
      <c r="V31">
        <v>52.812163199996498</v>
      </c>
      <c r="W31">
        <v>52.825363699987001</v>
      </c>
      <c r="X31">
        <v>52.825363699987001</v>
      </c>
      <c r="Y31">
        <v>3.00043000024743E-2</v>
      </c>
      <c r="Z31">
        <v>54.047250000003203</v>
      </c>
      <c r="AA31" t="s">
        <v>140</v>
      </c>
      <c r="AB31" t="s">
        <v>141</v>
      </c>
      <c r="AC31" t="s">
        <v>52</v>
      </c>
      <c r="AD31" t="s">
        <v>53</v>
      </c>
      <c r="AE31" t="s">
        <v>53</v>
      </c>
      <c r="AF31" t="s">
        <v>142</v>
      </c>
      <c r="AG31" t="s">
        <v>55</v>
      </c>
      <c r="AL31" t="s">
        <v>45</v>
      </c>
      <c r="AM31">
        <v>1</v>
      </c>
      <c r="AN31" t="s">
        <v>46</v>
      </c>
      <c r="AO31" t="s">
        <v>47</v>
      </c>
      <c r="AQ31" t="s">
        <v>48</v>
      </c>
      <c r="AR31">
        <v>60.014499505194401</v>
      </c>
      <c r="AS31" t="s">
        <v>49</v>
      </c>
    </row>
    <row r="32" spans="1:45" x14ac:dyDescent="0.35">
      <c r="A32">
        <v>29</v>
      </c>
      <c r="B32">
        <v>0</v>
      </c>
      <c r="C32">
        <v>29</v>
      </c>
      <c r="D32" t="s">
        <v>143</v>
      </c>
      <c r="E32" t="s">
        <v>144</v>
      </c>
      <c r="F32" t="s">
        <v>52</v>
      </c>
      <c r="G32" t="s">
        <v>53</v>
      </c>
      <c r="H32" t="s">
        <v>53</v>
      </c>
      <c r="I32" t="s">
        <v>145</v>
      </c>
      <c r="J32" t="s">
        <v>55</v>
      </c>
      <c r="K32">
        <v>29</v>
      </c>
      <c r="L32">
        <v>0</v>
      </c>
      <c r="M32">
        <v>29</v>
      </c>
      <c r="N32">
        <v>0</v>
      </c>
      <c r="O32">
        <v>54.115547699999297</v>
      </c>
      <c r="U32">
        <v>10</v>
      </c>
      <c r="V32">
        <v>54.098039200005502</v>
      </c>
      <c r="W32">
        <v>54.115547699999297</v>
      </c>
      <c r="X32">
        <v>54.115547699999297</v>
      </c>
      <c r="Y32">
        <v>5.0492499984102303E-2</v>
      </c>
      <c r="Z32">
        <v>55.963705200003403</v>
      </c>
      <c r="AA32" t="s">
        <v>143</v>
      </c>
      <c r="AB32" t="s">
        <v>144</v>
      </c>
      <c r="AC32" t="s">
        <v>52</v>
      </c>
      <c r="AD32" t="s">
        <v>53</v>
      </c>
      <c r="AE32" t="s">
        <v>53</v>
      </c>
      <c r="AF32" t="s">
        <v>145</v>
      </c>
      <c r="AG32" t="s">
        <v>55</v>
      </c>
      <c r="AL32" t="s">
        <v>45</v>
      </c>
      <c r="AM32">
        <v>1</v>
      </c>
      <c r="AN32" t="s">
        <v>46</v>
      </c>
      <c r="AO32" t="s">
        <v>47</v>
      </c>
      <c r="AQ32" t="s">
        <v>48</v>
      </c>
      <c r="AR32">
        <v>60.014499505194401</v>
      </c>
      <c r="AS32" t="s">
        <v>49</v>
      </c>
    </row>
    <row r="33" spans="1:45" x14ac:dyDescent="0.35">
      <c r="A33">
        <v>30</v>
      </c>
      <c r="B33">
        <v>0</v>
      </c>
      <c r="C33">
        <v>30</v>
      </c>
      <c r="D33" t="s">
        <v>146</v>
      </c>
      <c r="E33" t="s">
        <v>147</v>
      </c>
      <c r="F33" t="s">
        <v>52</v>
      </c>
      <c r="G33" t="s">
        <v>53</v>
      </c>
      <c r="H33" t="s">
        <v>53</v>
      </c>
      <c r="I33" t="s">
        <v>148</v>
      </c>
      <c r="J33" t="s">
        <v>55</v>
      </c>
      <c r="K33">
        <v>30</v>
      </c>
      <c r="L33">
        <v>0</v>
      </c>
      <c r="M33">
        <v>30</v>
      </c>
      <c r="N33">
        <v>0</v>
      </c>
      <c r="O33">
        <v>56.0069934999919</v>
      </c>
      <c r="U33">
        <v>5</v>
      </c>
      <c r="V33">
        <v>55.9918981000082</v>
      </c>
      <c r="W33">
        <v>56.0069934999919</v>
      </c>
      <c r="X33">
        <v>56.0069934999919</v>
      </c>
      <c r="Y33">
        <v>2.7902499976335E-2</v>
      </c>
      <c r="Z33">
        <v>56.948754599987197</v>
      </c>
      <c r="AA33" t="s">
        <v>146</v>
      </c>
      <c r="AB33" t="s">
        <v>147</v>
      </c>
      <c r="AC33" t="s">
        <v>52</v>
      </c>
      <c r="AD33" t="s">
        <v>53</v>
      </c>
      <c r="AE33" t="s">
        <v>53</v>
      </c>
      <c r="AF33" t="s">
        <v>148</v>
      </c>
      <c r="AG33" t="s">
        <v>55</v>
      </c>
      <c r="AL33" t="s">
        <v>45</v>
      </c>
      <c r="AM33">
        <v>1</v>
      </c>
      <c r="AN33" t="s">
        <v>46</v>
      </c>
      <c r="AO33" t="s">
        <v>47</v>
      </c>
      <c r="AQ33" t="s">
        <v>48</v>
      </c>
      <c r="AR33">
        <v>60.014499505194401</v>
      </c>
      <c r="AS33" t="s">
        <v>49</v>
      </c>
    </row>
    <row r="34" spans="1:45" x14ac:dyDescent="0.35">
      <c r="A34">
        <v>31</v>
      </c>
      <c r="B34">
        <v>0</v>
      </c>
      <c r="C34">
        <v>31</v>
      </c>
      <c r="D34" t="s">
        <v>149</v>
      </c>
      <c r="E34" t="s">
        <v>150</v>
      </c>
      <c r="F34" t="s">
        <v>52</v>
      </c>
      <c r="G34" t="s">
        <v>53</v>
      </c>
      <c r="H34" t="s">
        <v>53</v>
      </c>
      <c r="I34" t="s">
        <v>151</v>
      </c>
      <c r="J34" t="s">
        <v>55</v>
      </c>
      <c r="K34">
        <v>31</v>
      </c>
      <c r="L34">
        <v>0</v>
      </c>
      <c r="M34">
        <v>31</v>
      </c>
      <c r="N34">
        <v>0</v>
      </c>
      <c r="O34">
        <v>57.041059200011603</v>
      </c>
      <c r="U34">
        <v>10</v>
      </c>
      <c r="V34">
        <v>57.014399700012198</v>
      </c>
      <c r="W34">
        <v>57.041059200011603</v>
      </c>
      <c r="X34">
        <v>57.041059200011603</v>
      </c>
      <c r="Y34">
        <v>6.5338299988070503E-2</v>
      </c>
      <c r="Z34">
        <v>58.396954099996897</v>
      </c>
      <c r="AA34" t="s">
        <v>149</v>
      </c>
      <c r="AB34" t="s">
        <v>150</v>
      </c>
      <c r="AC34" t="s">
        <v>52</v>
      </c>
      <c r="AD34" t="s">
        <v>53</v>
      </c>
      <c r="AE34" t="s">
        <v>53</v>
      </c>
      <c r="AF34" t="s">
        <v>151</v>
      </c>
      <c r="AG34" t="s">
        <v>55</v>
      </c>
      <c r="AL34" t="s">
        <v>45</v>
      </c>
      <c r="AM34">
        <v>1</v>
      </c>
      <c r="AN34" t="s">
        <v>46</v>
      </c>
      <c r="AO34" t="s">
        <v>47</v>
      </c>
      <c r="AQ34" t="s">
        <v>48</v>
      </c>
      <c r="AR34">
        <v>60.014499505194401</v>
      </c>
      <c r="AS34" t="s">
        <v>49</v>
      </c>
    </row>
    <row r="35" spans="1:45" x14ac:dyDescent="0.35">
      <c r="A35">
        <v>32</v>
      </c>
      <c r="B35">
        <v>0</v>
      </c>
      <c r="C35">
        <v>32</v>
      </c>
      <c r="D35" t="s">
        <v>152</v>
      </c>
      <c r="E35" t="s">
        <v>153</v>
      </c>
      <c r="F35" t="s">
        <v>52</v>
      </c>
      <c r="G35" t="s">
        <v>53</v>
      </c>
      <c r="H35" t="s">
        <v>53</v>
      </c>
      <c r="I35" t="s">
        <v>154</v>
      </c>
      <c r="J35" t="s">
        <v>55</v>
      </c>
      <c r="K35">
        <v>32</v>
      </c>
      <c r="L35">
        <v>0</v>
      </c>
      <c r="M35">
        <v>32</v>
      </c>
      <c r="N35">
        <v>0</v>
      </c>
      <c r="O35">
        <v>58.489532500010597</v>
      </c>
      <c r="U35">
        <v>10</v>
      </c>
      <c r="V35">
        <v>58.462758699984903</v>
      </c>
      <c r="W35">
        <v>58.489532500010597</v>
      </c>
      <c r="X35">
        <v>58.489532500010597</v>
      </c>
      <c r="Y35">
        <v>6.5440699981991202E-2</v>
      </c>
      <c r="Z35">
        <v>59.764457999990498</v>
      </c>
      <c r="AA35" t="s">
        <v>152</v>
      </c>
      <c r="AB35" t="s">
        <v>153</v>
      </c>
      <c r="AC35" t="s">
        <v>52</v>
      </c>
      <c r="AD35" t="s">
        <v>53</v>
      </c>
      <c r="AE35" t="s">
        <v>53</v>
      </c>
      <c r="AF35" t="s">
        <v>154</v>
      </c>
      <c r="AG35" t="s">
        <v>55</v>
      </c>
      <c r="AL35" t="s">
        <v>45</v>
      </c>
      <c r="AM35">
        <v>1</v>
      </c>
      <c r="AN35" t="s">
        <v>46</v>
      </c>
      <c r="AO35" t="s">
        <v>47</v>
      </c>
      <c r="AQ35" t="s">
        <v>48</v>
      </c>
      <c r="AR35">
        <v>60.014499505194401</v>
      </c>
      <c r="AS35" t="s">
        <v>49</v>
      </c>
    </row>
    <row r="36" spans="1:45" x14ac:dyDescent="0.35">
      <c r="A36">
        <v>33</v>
      </c>
      <c r="B36">
        <v>0</v>
      </c>
      <c r="C36">
        <v>33</v>
      </c>
      <c r="D36" t="s">
        <v>155</v>
      </c>
      <c r="E36" t="s">
        <v>156</v>
      </c>
      <c r="F36" t="s">
        <v>52</v>
      </c>
      <c r="G36" t="s">
        <v>53</v>
      </c>
      <c r="H36" t="s">
        <v>53</v>
      </c>
      <c r="I36" t="s">
        <v>157</v>
      </c>
      <c r="J36" t="s">
        <v>55</v>
      </c>
      <c r="K36">
        <v>33</v>
      </c>
      <c r="L36">
        <v>0</v>
      </c>
      <c r="M36">
        <v>33</v>
      </c>
      <c r="N36">
        <v>0</v>
      </c>
      <c r="O36">
        <v>59.8371046000102</v>
      </c>
      <c r="U36">
        <v>10</v>
      </c>
      <c r="V36">
        <v>59.816150300000999</v>
      </c>
      <c r="W36">
        <v>59.8371046000102</v>
      </c>
      <c r="X36">
        <v>59.8371046000102</v>
      </c>
      <c r="Y36">
        <v>5.1471999991917899E-2</v>
      </c>
      <c r="Z36">
        <v>60.947184399992601</v>
      </c>
      <c r="AA36" t="s">
        <v>155</v>
      </c>
      <c r="AB36" t="s">
        <v>156</v>
      </c>
      <c r="AC36" t="s">
        <v>52</v>
      </c>
      <c r="AD36" t="s">
        <v>53</v>
      </c>
      <c r="AE36" t="s">
        <v>53</v>
      </c>
      <c r="AF36" t="s">
        <v>157</v>
      </c>
      <c r="AG36" t="s">
        <v>55</v>
      </c>
      <c r="AL36" t="s">
        <v>45</v>
      </c>
      <c r="AM36">
        <v>1</v>
      </c>
      <c r="AN36" t="s">
        <v>46</v>
      </c>
      <c r="AO36" t="s">
        <v>47</v>
      </c>
      <c r="AQ36" t="s">
        <v>48</v>
      </c>
      <c r="AR36">
        <v>60.014499505194401</v>
      </c>
      <c r="AS36" t="s">
        <v>49</v>
      </c>
    </row>
    <row r="37" spans="1:45" x14ac:dyDescent="0.35">
      <c r="A37">
        <v>34</v>
      </c>
      <c r="B37">
        <v>0</v>
      </c>
      <c r="C37">
        <v>34</v>
      </c>
      <c r="D37" t="s">
        <v>158</v>
      </c>
      <c r="E37" t="s">
        <v>159</v>
      </c>
      <c r="F37" t="s">
        <v>52</v>
      </c>
      <c r="G37" t="s">
        <v>53</v>
      </c>
      <c r="H37" t="s">
        <v>53</v>
      </c>
      <c r="I37" t="s">
        <v>160</v>
      </c>
      <c r="J37" t="s">
        <v>55</v>
      </c>
      <c r="K37">
        <v>34</v>
      </c>
      <c r="L37">
        <v>0</v>
      </c>
      <c r="M37">
        <v>34</v>
      </c>
      <c r="N37">
        <v>0</v>
      </c>
      <c r="O37">
        <v>60.983388499996998</v>
      </c>
      <c r="U37">
        <v>5</v>
      </c>
      <c r="V37">
        <v>60.972254499996701</v>
      </c>
      <c r="W37">
        <v>60.983388499996998</v>
      </c>
      <c r="X37">
        <v>60.983388499996998</v>
      </c>
      <c r="Y37">
        <v>2.4746099981712101E-2</v>
      </c>
      <c r="Z37">
        <v>62.231469699996502</v>
      </c>
      <c r="AA37" t="s">
        <v>158</v>
      </c>
      <c r="AB37" t="s">
        <v>159</v>
      </c>
      <c r="AC37" t="s">
        <v>52</v>
      </c>
      <c r="AD37" t="s">
        <v>53</v>
      </c>
      <c r="AE37" t="s">
        <v>53</v>
      </c>
      <c r="AF37" t="s">
        <v>160</v>
      </c>
      <c r="AG37" t="s">
        <v>55</v>
      </c>
      <c r="AL37" t="s">
        <v>45</v>
      </c>
      <c r="AM37">
        <v>1</v>
      </c>
      <c r="AN37" t="s">
        <v>46</v>
      </c>
      <c r="AO37" t="s">
        <v>47</v>
      </c>
      <c r="AQ37" t="s">
        <v>48</v>
      </c>
      <c r="AR37">
        <v>60.014499505194401</v>
      </c>
      <c r="AS37" t="s">
        <v>49</v>
      </c>
    </row>
    <row r="38" spans="1:45" x14ac:dyDescent="0.35">
      <c r="A38">
        <v>35</v>
      </c>
      <c r="B38">
        <v>0</v>
      </c>
      <c r="C38">
        <v>35</v>
      </c>
      <c r="D38" t="s">
        <v>161</v>
      </c>
      <c r="E38" t="s">
        <v>162</v>
      </c>
      <c r="F38" t="s">
        <v>52</v>
      </c>
      <c r="G38" t="s">
        <v>53</v>
      </c>
      <c r="H38" t="s">
        <v>53</v>
      </c>
      <c r="I38" t="s">
        <v>163</v>
      </c>
      <c r="J38" t="s">
        <v>55</v>
      </c>
      <c r="K38">
        <v>35</v>
      </c>
      <c r="L38">
        <v>0</v>
      </c>
      <c r="M38">
        <v>35</v>
      </c>
      <c r="N38">
        <v>0</v>
      </c>
      <c r="O38">
        <v>62.2726787999854</v>
      </c>
      <c r="U38">
        <v>5</v>
      </c>
      <c r="V38">
        <v>62.260272099985698</v>
      </c>
      <c r="W38">
        <v>62.2726787999854</v>
      </c>
      <c r="X38">
        <v>62.2726787999854</v>
      </c>
      <c r="Y38">
        <v>2.87475000077392E-2</v>
      </c>
      <c r="Z38">
        <v>63.2978566999954</v>
      </c>
      <c r="AA38" t="s">
        <v>161</v>
      </c>
      <c r="AB38" t="s">
        <v>162</v>
      </c>
      <c r="AC38" t="s">
        <v>52</v>
      </c>
      <c r="AD38" t="s">
        <v>53</v>
      </c>
      <c r="AE38" t="s">
        <v>53</v>
      </c>
      <c r="AF38" t="s">
        <v>163</v>
      </c>
      <c r="AG38" t="s">
        <v>55</v>
      </c>
      <c r="AL38" t="s">
        <v>45</v>
      </c>
      <c r="AM38">
        <v>1</v>
      </c>
      <c r="AN38" t="s">
        <v>46</v>
      </c>
      <c r="AO38" t="s">
        <v>47</v>
      </c>
      <c r="AQ38" t="s">
        <v>48</v>
      </c>
      <c r="AR38">
        <v>60.014499505194401</v>
      </c>
      <c r="AS38" t="s">
        <v>49</v>
      </c>
    </row>
    <row r="39" spans="1:45" x14ac:dyDescent="0.35">
      <c r="A39">
        <v>36</v>
      </c>
      <c r="B39">
        <v>0</v>
      </c>
      <c r="C39">
        <v>36</v>
      </c>
      <c r="D39" t="s">
        <v>164</v>
      </c>
      <c r="E39" t="s">
        <v>165</v>
      </c>
      <c r="F39" t="s">
        <v>58</v>
      </c>
      <c r="G39" t="s">
        <v>59</v>
      </c>
      <c r="H39" t="s">
        <v>59</v>
      </c>
      <c r="I39" t="s">
        <v>166</v>
      </c>
      <c r="J39" t="s">
        <v>61</v>
      </c>
      <c r="K39">
        <v>36</v>
      </c>
      <c r="L39">
        <v>0</v>
      </c>
      <c r="M39">
        <v>36</v>
      </c>
      <c r="N39">
        <v>0</v>
      </c>
      <c r="O39">
        <v>63.372145100001902</v>
      </c>
      <c r="U39">
        <v>10</v>
      </c>
      <c r="V39">
        <v>63.350391999993001</v>
      </c>
      <c r="W39">
        <v>63.372145100001902</v>
      </c>
      <c r="X39">
        <v>63.372145100001902</v>
      </c>
      <c r="Y39">
        <v>5.2278300019679501E-2</v>
      </c>
      <c r="Z39">
        <v>65.432014299993099</v>
      </c>
      <c r="AA39" t="s">
        <v>164</v>
      </c>
      <c r="AB39" t="s">
        <v>165</v>
      </c>
      <c r="AC39" t="s">
        <v>58</v>
      </c>
      <c r="AD39" t="s">
        <v>59</v>
      </c>
      <c r="AE39" t="s">
        <v>59</v>
      </c>
      <c r="AF39" t="s">
        <v>166</v>
      </c>
      <c r="AG39" t="s">
        <v>61</v>
      </c>
      <c r="AL39" t="s">
        <v>45</v>
      </c>
      <c r="AM39">
        <v>1</v>
      </c>
      <c r="AN39" t="s">
        <v>46</v>
      </c>
      <c r="AO39" t="s">
        <v>47</v>
      </c>
      <c r="AQ39" t="s">
        <v>48</v>
      </c>
      <c r="AR39">
        <v>60.014499505194401</v>
      </c>
      <c r="AS39" t="s">
        <v>49</v>
      </c>
    </row>
    <row r="40" spans="1:45" x14ac:dyDescent="0.35">
      <c r="A40">
        <v>37</v>
      </c>
      <c r="B40">
        <v>0</v>
      </c>
      <c r="C40">
        <v>37</v>
      </c>
      <c r="D40" t="s">
        <v>167</v>
      </c>
      <c r="E40" t="s">
        <v>168</v>
      </c>
      <c r="F40" t="s">
        <v>52</v>
      </c>
      <c r="G40" t="s">
        <v>53</v>
      </c>
      <c r="H40" t="s">
        <v>53</v>
      </c>
      <c r="I40" t="s">
        <v>169</v>
      </c>
      <c r="J40" t="s">
        <v>55</v>
      </c>
      <c r="K40">
        <v>37</v>
      </c>
      <c r="L40">
        <v>0</v>
      </c>
      <c r="M40">
        <v>37</v>
      </c>
      <c r="N40">
        <v>0</v>
      </c>
      <c r="O40">
        <v>65.471157699998002</v>
      </c>
      <c r="U40">
        <v>5</v>
      </c>
      <c r="V40">
        <v>65.459686399990403</v>
      </c>
      <c r="W40">
        <v>65.471157699998002</v>
      </c>
      <c r="X40">
        <v>65.471157699998002</v>
      </c>
      <c r="Y40">
        <v>2.7217599999858001E-2</v>
      </c>
      <c r="Z40">
        <v>66.849493699992294</v>
      </c>
      <c r="AA40" t="s">
        <v>167</v>
      </c>
      <c r="AB40" t="s">
        <v>168</v>
      </c>
      <c r="AC40" t="s">
        <v>52</v>
      </c>
      <c r="AD40" t="s">
        <v>53</v>
      </c>
      <c r="AE40" t="s">
        <v>53</v>
      </c>
      <c r="AF40" t="s">
        <v>169</v>
      </c>
      <c r="AG40" t="s">
        <v>55</v>
      </c>
      <c r="AL40" t="s">
        <v>45</v>
      </c>
      <c r="AM40">
        <v>1</v>
      </c>
      <c r="AN40" t="s">
        <v>46</v>
      </c>
      <c r="AO40" t="s">
        <v>47</v>
      </c>
      <c r="AQ40" t="s">
        <v>48</v>
      </c>
      <c r="AR40">
        <v>60.014499505194401</v>
      </c>
      <c r="AS40" t="s">
        <v>49</v>
      </c>
    </row>
    <row r="41" spans="1:45" x14ac:dyDescent="0.35">
      <c r="A41">
        <v>38</v>
      </c>
      <c r="B41">
        <v>0</v>
      </c>
      <c r="C41">
        <v>38</v>
      </c>
      <c r="D41" t="s">
        <v>170</v>
      </c>
      <c r="E41" t="s">
        <v>171</v>
      </c>
      <c r="F41" t="s">
        <v>52</v>
      </c>
      <c r="G41" t="s">
        <v>53</v>
      </c>
      <c r="H41" t="s">
        <v>53</v>
      </c>
      <c r="I41" t="s">
        <v>172</v>
      </c>
      <c r="J41" t="s">
        <v>55</v>
      </c>
      <c r="K41">
        <v>38</v>
      </c>
      <c r="L41">
        <v>0</v>
      </c>
      <c r="M41">
        <v>38</v>
      </c>
      <c r="N41">
        <v>0</v>
      </c>
      <c r="O41">
        <v>66.921272300009093</v>
      </c>
      <c r="U41">
        <v>10</v>
      </c>
      <c r="V41">
        <v>66.901730799989295</v>
      </c>
      <c r="W41">
        <v>66.921272300009093</v>
      </c>
      <c r="X41">
        <v>66.921272300009093</v>
      </c>
      <c r="Y41">
        <v>5.1880500017432399E-2</v>
      </c>
      <c r="Z41">
        <v>68.182015500002294</v>
      </c>
      <c r="AA41" t="s">
        <v>170</v>
      </c>
      <c r="AB41" t="s">
        <v>171</v>
      </c>
      <c r="AC41" t="s">
        <v>52</v>
      </c>
      <c r="AD41" t="s">
        <v>53</v>
      </c>
      <c r="AE41" t="s">
        <v>53</v>
      </c>
      <c r="AF41" t="s">
        <v>172</v>
      </c>
      <c r="AG41" t="s">
        <v>55</v>
      </c>
      <c r="AL41" t="s">
        <v>45</v>
      </c>
      <c r="AM41">
        <v>1</v>
      </c>
      <c r="AN41" t="s">
        <v>46</v>
      </c>
      <c r="AO41" t="s">
        <v>47</v>
      </c>
      <c r="AQ41" t="s">
        <v>48</v>
      </c>
      <c r="AR41">
        <v>60.014499505194401</v>
      </c>
      <c r="AS41" t="s">
        <v>49</v>
      </c>
    </row>
    <row r="42" spans="1:45" x14ac:dyDescent="0.35">
      <c r="A42">
        <v>39</v>
      </c>
      <c r="B42">
        <v>0</v>
      </c>
      <c r="C42">
        <v>39</v>
      </c>
      <c r="D42" t="s">
        <v>173</v>
      </c>
      <c r="E42" t="s">
        <v>174</v>
      </c>
      <c r="F42" t="s">
        <v>52</v>
      </c>
      <c r="G42" t="s">
        <v>53</v>
      </c>
      <c r="H42" t="s">
        <v>53</v>
      </c>
      <c r="I42" t="s">
        <v>175</v>
      </c>
      <c r="J42" t="s">
        <v>55</v>
      </c>
      <c r="K42">
        <v>39</v>
      </c>
      <c r="L42">
        <v>0</v>
      </c>
      <c r="M42">
        <v>39</v>
      </c>
      <c r="N42">
        <v>0</v>
      </c>
      <c r="O42">
        <v>68.248305499990195</v>
      </c>
      <c r="U42">
        <v>10</v>
      </c>
      <c r="V42">
        <v>68.228163299994705</v>
      </c>
      <c r="W42">
        <v>68.248305499990195</v>
      </c>
      <c r="X42">
        <v>68.248305499990195</v>
      </c>
      <c r="Y42">
        <v>4.5917999988887397E-2</v>
      </c>
      <c r="Z42">
        <v>70.480143399996393</v>
      </c>
      <c r="AA42" t="s">
        <v>173</v>
      </c>
      <c r="AB42" t="s">
        <v>174</v>
      </c>
      <c r="AC42" t="s">
        <v>52</v>
      </c>
      <c r="AD42" t="s">
        <v>53</v>
      </c>
      <c r="AE42" t="s">
        <v>53</v>
      </c>
      <c r="AF42" t="s">
        <v>175</v>
      </c>
      <c r="AG42" t="s">
        <v>55</v>
      </c>
      <c r="AL42" t="s">
        <v>45</v>
      </c>
      <c r="AM42">
        <v>1</v>
      </c>
      <c r="AN42" t="s">
        <v>46</v>
      </c>
      <c r="AO42" t="s">
        <v>47</v>
      </c>
      <c r="AQ42" t="s">
        <v>48</v>
      </c>
      <c r="AR42">
        <v>60.014499505194401</v>
      </c>
      <c r="AS42" t="s">
        <v>49</v>
      </c>
    </row>
    <row r="43" spans="1:45" x14ac:dyDescent="0.35">
      <c r="A43">
        <v>40</v>
      </c>
      <c r="B43">
        <v>0</v>
      </c>
      <c r="C43">
        <v>40</v>
      </c>
      <c r="D43" t="s">
        <v>176</v>
      </c>
      <c r="E43" t="s">
        <v>177</v>
      </c>
      <c r="F43" t="s">
        <v>52</v>
      </c>
      <c r="G43" t="s">
        <v>53</v>
      </c>
      <c r="H43" t="s">
        <v>53</v>
      </c>
      <c r="I43" t="s">
        <v>178</v>
      </c>
      <c r="J43" t="s">
        <v>55</v>
      </c>
      <c r="K43">
        <v>40</v>
      </c>
      <c r="L43">
        <v>0</v>
      </c>
      <c r="M43">
        <v>40</v>
      </c>
      <c r="N43">
        <v>0</v>
      </c>
      <c r="O43">
        <v>70.544214099994804</v>
      </c>
      <c r="U43">
        <v>10</v>
      </c>
      <c r="V43">
        <v>70.526707899989503</v>
      </c>
      <c r="W43">
        <v>70.544214099994804</v>
      </c>
      <c r="X43">
        <v>70.544214099994804</v>
      </c>
      <c r="Y43">
        <v>4.6321100002387497E-2</v>
      </c>
      <c r="Z43">
        <v>74.696519799996096</v>
      </c>
      <c r="AA43" t="s">
        <v>176</v>
      </c>
      <c r="AB43" t="s">
        <v>177</v>
      </c>
      <c r="AC43" t="s">
        <v>52</v>
      </c>
      <c r="AD43" t="s">
        <v>53</v>
      </c>
      <c r="AE43" t="s">
        <v>53</v>
      </c>
      <c r="AF43" t="s">
        <v>178</v>
      </c>
      <c r="AG43" t="s">
        <v>55</v>
      </c>
      <c r="AL43" t="s">
        <v>45</v>
      </c>
      <c r="AM43">
        <v>1</v>
      </c>
      <c r="AN43" t="s">
        <v>46</v>
      </c>
      <c r="AO43" t="s">
        <v>47</v>
      </c>
      <c r="AQ43" t="s">
        <v>48</v>
      </c>
      <c r="AR43">
        <v>60.014499505194401</v>
      </c>
      <c r="AS43" t="s">
        <v>49</v>
      </c>
    </row>
    <row r="44" spans="1:45" x14ac:dyDescent="0.35">
      <c r="A44">
        <v>41</v>
      </c>
      <c r="B44">
        <v>0</v>
      </c>
      <c r="C44">
        <v>41</v>
      </c>
      <c r="D44" t="s">
        <v>179</v>
      </c>
      <c r="E44" t="s">
        <v>180</v>
      </c>
      <c r="F44" t="s">
        <v>52</v>
      </c>
      <c r="G44" t="s">
        <v>53</v>
      </c>
      <c r="H44" t="s">
        <v>53</v>
      </c>
      <c r="I44" t="s">
        <v>181</v>
      </c>
      <c r="J44" t="s">
        <v>55</v>
      </c>
      <c r="K44">
        <v>41</v>
      </c>
      <c r="L44">
        <v>0</v>
      </c>
      <c r="M44">
        <v>41</v>
      </c>
      <c r="N44">
        <v>0</v>
      </c>
      <c r="O44">
        <v>74.7281302000046</v>
      </c>
      <c r="U44">
        <v>5</v>
      </c>
      <c r="V44">
        <v>74.718067699985099</v>
      </c>
      <c r="W44">
        <v>74.7281302000046</v>
      </c>
      <c r="X44">
        <v>74.7281302000046</v>
      </c>
      <c r="Y44">
        <v>2.1325400011846699E-2</v>
      </c>
      <c r="Z44">
        <v>76.415249399986294</v>
      </c>
      <c r="AA44" t="s">
        <v>179</v>
      </c>
      <c r="AB44" t="s">
        <v>180</v>
      </c>
      <c r="AC44" t="s">
        <v>52</v>
      </c>
      <c r="AD44" t="s">
        <v>53</v>
      </c>
      <c r="AE44" t="s">
        <v>53</v>
      </c>
      <c r="AF44" t="s">
        <v>181</v>
      </c>
      <c r="AG44" t="s">
        <v>55</v>
      </c>
      <c r="AL44" t="s">
        <v>45</v>
      </c>
      <c r="AM44">
        <v>1</v>
      </c>
      <c r="AN44" t="s">
        <v>46</v>
      </c>
      <c r="AO44" t="s">
        <v>47</v>
      </c>
      <c r="AQ44" t="s">
        <v>48</v>
      </c>
      <c r="AR44">
        <v>60.014499505194401</v>
      </c>
      <c r="AS44" t="s">
        <v>49</v>
      </c>
    </row>
    <row r="45" spans="1:45" x14ac:dyDescent="0.35">
      <c r="A45">
        <v>42</v>
      </c>
      <c r="B45">
        <v>0</v>
      </c>
      <c r="C45">
        <v>42</v>
      </c>
      <c r="D45" t="s">
        <v>182</v>
      </c>
      <c r="E45" t="s">
        <v>183</v>
      </c>
      <c r="F45" t="s">
        <v>52</v>
      </c>
      <c r="G45" t="s">
        <v>53</v>
      </c>
      <c r="H45" t="s">
        <v>53</v>
      </c>
      <c r="I45" t="s">
        <v>184</v>
      </c>
      <c r="J45" t="s">
        <v>55</v>
      </c>
      <c r="K45">
        <v>42</v>
      </c>
      <c r="L45">
        <v>0</v>
      </c>
      <c r="M45">
        <v>42</v>
      </c>
      <c r="N45">
        <v>0</v>
      </c>
      <c r="O45">
        <v>76.4826737999974</v>
      </c>
      <c r="U45">
        <v>10</v>
      </c>
      <c r="V45">
        <v>76.462187800003406</v>
      </c>
      <c r="W45">
        <v>76.4826737999974</v>
      </c>
      <c r="X45">
        <v>76.4826737999974</v>
      </c>
      <c r="Y45">
        <v>4.6749000001000199E-2</v>
      </c>
      <c r="Z45">
        <v>77.915054399985806</v>
      </c>
      <c r="AA45" t="s">
        <v>182</v>
      </c>
      <c r="AB45" t="s">
        <v>183</v>
      </c>
      <c r="AC45" t="s">
        <v>52</v>
      </c>
      <c r="AD45" t="s">
        <v>53</v>
      </c>
      <c r="AE45" t="s">
        <v>53</v>
      </c>
      <c r="AF45" t="s">
        <v>184</v>
      </c>
      <c r="AG45" t="s">
        <v>55</v>
      </c>
      <c r="AL45" t="s">
        <v>45</v>
      </c>
      <c r="AM45">
        <v>1</v>
      </c>
      <c r="AN45" t="s">
        <v>46</v>
      </c>
      <c r="AO45" t="s">
        <v>47</v>
      </c>
      <c r="AQ45" t="s">
        <v>48</v>
      </c>
      <c r="AR45">
        <v>60.014499505194401</v>
      </c>
      <c r="AS45" t="s">
        <v>49</v>
      </c>
    </row>
    <row r="46" spans="1:45" x14ac:dyDescent="0.35">
      <c r="A46">
        <v>43</v>
      </c>
      <c r="B46">
        <v>0</v>
      </c>
      <c r="C46">
        <v>43</v>
      </c>
      <c r="D46" t="s">
        <v>185</v>
      </c>
      <c r="E46" t="s">
        <v>186</v>
      </c>
      <c r="F46" t="s">
        <v>52</v>
      </c>
      <c r="G46" t="s">
        <v>53</v>
      </c>
      <c r="H46" t="s">
        <v>53</v>
      </c>
      <c r="I46" t="s">
        <v>187</v>
      </c>
      <c r="J46" t="s">
        <v>55</v>
      </c>
      <c r="K46">
        <v>43</v>
      </c>
      <c r="L46">
        <v>0</v>
      </c>
      <c r="M46">
        <v>43</v>
      </c>
      <c r="N46">
        <v>0</v>
      </c>
      <c r="O46">
        <v>77.982500000012806</v>
      </c>
      <c r="U46">
        <v>10</v>
      </c>
      <c r="V46">
        <v>77.964155900001003</v>
      </c>
      <c r="W46">
        <v>77.982500000012806</v>
      </c>
      <c r="X46">
        <v>77.982500000012806</v>
      </c>
      <c r="Y46">
        <v>4.8716499994043198E-2</v>
      </c>
      <c r="Z46">
        <v>79.333963699988004</v>
      </c>
      <c r="AA46" t="s">
        <v>185</v>
      </c>
      <c r="AB46" t="s">
        <v>186</v>
      </c>
      <c r="AC46" t="s">
        <v>52</v>
      </c>
      <c r="AD46" t="s">
        <v>53</v>
      </c>
      <c r="AE46" t="s">
        <v>53</v>
      </c>
      <c r="AF46" t="s">
        <v>187</v>
      </c>
      <c r="AG46" t="s">
        <v>55</v>
      </c>
      <c r="AL46" t="s">
        <v>45</v>
      </c>
      <c r="AM46">
        <v>1</v>
      </c>
      <c r="AN46" t="s">
        <v>46</v>
      </c>
      <c r="AO46" t="s">
        <v>47</v>
      </c>
      <c r="AQ46" t="s">
        <v>48</v>
      </c>
      <c r="AR46">
        <v>60.014499505194401</v>
      </c>
      <c r="AS46" t="s">
        <v>49</v>
      </c>
    </row>
    <row r="47" spans="1:45" x14ac:dyDescent="0.35">
      <c r="A47">
        <v>44</v>
      </c>
      <c r="B47">
        <v>0</v>
      </c>
      <c r="C47">
        <v>44</v>
      </c>
      <c r="D47" t="s">
        <v>188</v>
      </c>
      <c r="E47" t="s">
        <v>83</v>
      </c>
      <c r="F47" t="s">
        <v>52</v>
      </c>
      <c r="G47" t="s">
        <v>53</v>
      </c>
      <c r="H47" t="s">
        <v>53</v>
      </c>
      <c r="I47" t="s">
        <v>189</v>
      </c>
      <c r="J47" t="s">
        <v>55</v>
      </c>
      <c r="K47">
        <v>44</v>
      </c>
      <c r="L47">
        <v>0</v>
      </c>
      <c r="M47">
        <v>44</v>
      </c>
      <c r="N47">
        <v>0</v>
      </c>
      <c r="O47">
        <v>79.395693099999306</v>
      </c>
      <c r="U47">
        <v>10</v>
      </c>
      <c r="V47">
        <v>79.377028599992599</v>
      </c>
      <c r="W47">
        <v>79.395693099999306</v>
      </c>
      <c r="X47">
        <v>79.395693099999306</v>
      </c>
      <c r="Y47">
        <v>4.27505999978166E-2</v>
      </c>
      <c r="Z47">
        <v>80.665227999997995</v>
      </c>
      <c r="AA47" t="s">
        <v>188</v>
      </c>
      <c r="AB47" t="s">
        <v>83</v>
      </c>
      <c r="AC47" t="s">
        <v>52</v>
      </c>
      <c r="AD47" t="s">
        <v>53</v>
      </c>
      <c r="AE47" t="s">
        <v>53</v>
      </c>
      <c r="AF47" t="s">
        <v>189</v>
      </c>
      <c r="AG47" t="s">
        <v>55</v>
      </c>
      <c r="AL47" t="s">
        <v>45</v>
      </c>
      <c r="AM47">
        <v>1</v>
      </c>
      <c r="AN47" t="s">
        <v>46</v>
      </c>
      <c r="AO47" t="s">
        <v>47</v>
      </c>
      <c r="AQ47" t="s">
        <v>48</v>
      </c>
      <c r="AR47">
        <v>60.014499505194401</v>
      </c>
      <c r="AS47" t="s">
        <v>49</v>
      </c>
    </row>
    <row r="48" spans="1:45" x14ac:dyDescent="0.35">
      <c r="A48">
        <v>45</v>
      </c>
      <c r="B48">
        <v>0</v>
      </c>
      <c r="C48">
        <v>45</v>
      </c>
      <c r="D48" t="s">
        <v>190</v>
      </c>
      <c r="E48" t="s">
        <v>191</v>
      </c>
      <c r="F48" t="s">
        <v>52</v>
      </c>
      <c r="G48" t="s">
        <v>53</v>
      </c>
      <c r="H48" t="s">
        <v>53</v>
      </c>
      <c r="I48" t="s">
        <v>192</v>
      </c>
      <c r="J48" t="s">
        <v>55</v>
      </c>
      <c r="K48">
        <v>45</v>
      </c>
      <c r="L48">
        <v>0</v>
      </c>
      <c r="M48">
        <v>45</v>
      </c>
      <c r="N48">
        <v>0</v>
      </c>
      <c r="O48">
        <v>80.732817999989393</v>
      </c>
      <c r="U48">
        <v>10</v>
      </c>
      <c r="V48">
        <v>80.713525900006005</v>
      </c>
      <c r="W48">
        <v>80.732817999989393</v>
      </c>
      <c r="X48">
        <v>80.732817999989393</v>
      </c>
      <c r="Y48">
        <v>4.7972899978049099E-2</v>
      </c>
      <c r="Z48">
        <v>81.896406199986799</v>
      </c>
      <c r="AA48" t="s">
        <v>190</v>
      </c>
      <c r="AB48" t="s">
        <v>191</v>
      </c>
      <c r="AC48" t="s">
        <v>52</v>
      </c>
      <c r="AD48" t="s">
        <v>53</v>
      </c>
      <c r="AE48" t="s">
        <v>53</v>
      </c>
      <c r="AF48" t="s">
        <v>192</v>
      </c>
      <c r="AG48" t="s">
        <v>55</v>
      </c>
      <c r="AL48" t="s">
        <v>45</v>
      </c>
      <c r="AM48">
        <v>1</v>
      </c>
      <c r="AN48" t="s">
        <v>46</v>
      </c>
      <c r="AO48" t="s">
        <v>47</v>
      </c>
      <c r="AQ48" t="s">
        <v>48</v>
      </c>
      <c r="AR48">
        <v>60.014499505194401</v>
      </c>
      <c r="AS48" t="s">
        <v>49</v>
      </c>
    </row>
    <row r="49" spans="1:45" x14ac:dyDescent="0.35">
      <c r="A49">
        <v>46</v>
      </c>
      <c r="B49">
        <v>0</v>
      </c>
      <c r="C49">
        <v>46</v>
      </c>
      <c r="D49" t="s">
        <v>193</v>
      </c>
      <c r="E49" t="s">
        <v>194</v>
      </c>
      <c r="F49" t="s">
        <v>52</v>
      </c>
      <c r="G49" t="s">
        <v>53</v>
      </c>
      <c r="H49" t="s">
        <v>53</v>
      </c>
      <c r="I49" t="s">
        <v>195</v>
      </c>
      <c r="J49" t="s">
        <v>55</v>
      </c>
      <c r="K49">
        <v>46</v>
      </c>
      <c r="L49">
        <v>0</v>
      </c>
      <c r="M49">
        <v>46</v>
      </c>
      <c r="N49">
        <v>0</v>
      </c>
      <c r="O49">
        <v>81.930224999989093</v>
      </c>
      <c r="U49">
        <v>5</v>
      </c>
      <c r="V49">
        <v>81.9189918999909</v>
      </c>
      <c r="W49">
        <v>81.930224999989093</v>
      </c>
      <c r="X49">
        <v>81.930224999989093</v>
      </c>
      <c r="Y49">
        <v>2.2391600010450902E-2</v>
      </c>
      <c r="Z49">
        <v>83.0166014000133</v>
      </c>
      <c r="AA49" t="s">
        <v>193</v>
      </c>
      <c r="AB49" t="s">
        <v>194</v>
      </c>
      <c r="AC49" t="s">
        <v>52</v>
      </c>
      <c r="AD49" t="s">
        <v>53</v>
      </c>
      <c r="AE49" t="s">
        <v>53</v>
      </c>
      <c r="AF49" t="s">
        <v>195</v>
      </c>
      <c r="AG49" t="s">
        <v>55</v>
      </c>
      <c r="AL49" t="s">
        <v>45</v>
      </c>
      <c r="AM49">
        <v>1</v>
      </c>
      <c r="AN49" t="s">
        <v>46</v>
      </c>
      <c r="AO49" t="s">
        <v>47</v>
      </c>
      <c r="AQ49" t="s">
        <v>48</v>
      </c>
      <c r="AR49">
        <v>60.014499505194401</v>
      </c>
      <c r="AS49" t="s">
        <v>49</v>
      </c>
    </row>
    <row r="50" spans="1:45" x14ac:dyDescent="0.35">
      <c r="A50">
        <v>47</v>
      </c>
      <c r="B50">
        <v>0</v>
      </c>
      <c r="C50">
        <v>47</v>
      </c>
      <c r="D50" t="s">
        <v>196</v>
      </c>
      <c r="E50" t="s">
        <v>197</v>
      </c>
      <c r="F50" t="s">
        <v>58</v>
      </c>
      <c r="G50" t="s">
        <v>59</v>
      </c>
      <c r="H50" t="s">
        <v>59</v>
      </c>
      <c r="I50" t="s">
        <v>198</v>
      </c>
      <c r="J50" t="s">
        <v>61</v>
      </c>
      <c r="K50">
        <v>47</v>
      </c>
      <c r="L50">
        <v>0</v>
      </c>
      <c r="M50">
        <v>47</v>
      </c>
      <c r="N50">
        <v>0</v>
      </c>
      <c r="O50">
        <v>83.086303599993698</v>
      </c>
      <c r="U50">
        <v>10</v>
      </c>
      <c r="V50">
        <v>83.069539599993703</v>
      </c>
      <c r="W50">
        <v>83.086303599993698</v>
      </c>
      <c r="X50">
        <v>83.086303599993698</v>
      </c>
      <c r="Y50">
        <v>5.27486000210046E-2</v>
      </c>
      <c r="Z50">
        <v>85.363832800008794</v>
      </c>
      <c r="AA50" t="s">
        <v>196</v>
      </c>
      <c r="AB50" t="s">
        <v>197</v>
      </c>
      <c r="AC50" t="s">
        <v>58</v>
      </c>
      <c r="AD50" t="s">
        <v>59</v>
      </c>
      <c r="AE50" t="s">
        <v>59</v>
      </c>
      <c r="AF50" t="s">
        <v>198</v>
      </c>
      <c r="AG50" t="s">
        <v>61</v>
      </c>
      <c r="AL50" t="s">
        <v>45</v>
      </c>
      <c r="AM50">
        <v>1</v>
      </c>
      <c r="AN50" t="s">
        <v>46</v>
      </c>
      <c r="AO50" t="s">
        <v>47</v>
      </c>
      <c r="AQ50" t="s">
        <v>48</v>
      </c>
      <c r="AR50">
        <v>60.014499505194401</v>
      </c>
      <c r="AS50" t="s">
        <v>49</v>
      </c>
    </row>
    <row r="51" spans="1:45" x14ac:dyDescent="0.35">
      <c r="A51">
        <v>48</v>
      </c>
      <c r="B51">
        <v>0</v>
      </c>
      <c r="C51">
        <v>48</v>
      </c>
      <c r="D51" t="s">
        <v>199</v>
      </c>
      <c r="E51" t="s">
        <v>200</v>
      </c>
      <c r="F51" t="s">
        <v>52</v>
      </c>
      <c r="G51" t="s">
        <v>53</v>
      </c>
      <c r="H51" t="s">
        <v>53</v>
      </c>
      <c r="I51" t="s">
        <v>201</v>
      </c>
      <c r="J51" t="s">
        <v>55</v>
      </c>
      <c r="K51">
        <v>48</v>
      </c>
      <c r="L51">
        <v>0</v>
      </c>
      <c r="M51">
        <v>48</v>
      </c>
      <c r="N51">
        <v>0</v>
      </c>
      <c r="O51">
        <v>85.399870099994502</v>
      </c>
      <c r="U51">
        <v>5</v>
      </c>
      <c r="V51">
        <v>85.389061699999701</v>
      </c>
      <c r="W51">
        <v>85.399870099994502</v>
      </c>
      <c r="X51">
        <v>85.399870099994502</v>
      </c>
      <c r="Y51">
        <v>2.49010999978054E-2</v>
      </c>
      <c r="Z51">
        <v>86.865408699988606</v>
      </c>
      <c r="AA51" t="s">
        <v>199</v>
      </c>
      <c r="AB51" t="s">
        <v>200</v>
      </c>
      <c r="AC51" t="s">
        <v>52</v>
      </c>
      <c r="AD51" t="s">
        <v>53</v>
      </c>
      <c r="AE51" t="s">
        <v>53</v>
      </c>
      <c r="AF51" t="s">
        <v>201</v>
      </c>
      <c r="AG51" t="s">
        <v>55</v>
      </c>
      <c r="AL51" t="s">
        <v>45</v>
      </c>
      <c r="AM51">
        <v>1</v>
      </c>
      <c r="AN51" t="s">
        <v>46</v>
      </c>
      <c r="AO51" t="s">
        <v>47</v>
      </c>
      <c r="AQ51" t="s">
        <v>48</v>
      </c>
      <c r="AR51">
        <v>60.014499505194401</v>
      </c>
      <c r="AS51" t="s">
        <v>49</v>
      </c>
    </row>
    <row r="52" spans="1:45" x14ac:dyDescent="0.35">
      <c r="A52">
        <v>49</v>
      </c>
      <c r="B52">
        <v>0</v>
      </c>
      <c r="C52">
        <v>49</v>
      </c>
      <c r="D52" t="s">
        <v>202</v>
      </c>
      <c r="E52" t="s">
        <v>203</v>
      </c>
      <c r="F52" t="s">
        <v>52</v>
      </c>
      <c r="G52" t="s">
        <v>53</v>
      </c>
      <c r="H52" t="s">
        <v>53</v>
      </c>
      <c r="I52" t="s">
        <v>204</v>
      </c>
      <c r="J52" t="s">
        <v>55</v>
      </c>
      <c r="K52">
        <v>49</v>
      </c>
      <c r="L52">
        <v>0</v>
      </c>
      <c r="M52">
        <v>49</v>
      </c>
      <c r="N52">
        <v>0</v>
      </c>
      <c r="O52">
        <v>86.899062200012807</v>
      </c>
      <c r="U52">
        <v>5</v>
      </c>
      <c r="V52">
        <v>86.887588699988498</v>
      </c>
      <c r="W52">
        <v>86.899062200012807</v>
      </c>
      <c r="X52">
        <v>86.899062200012807</v>
      </c>
      <c r="Y52">
        <v>2.1968100016238098E-2</v>
      </c>
      <c r="Z52">
        <v>88.114361899992204</v>
      </c>
      <c r="AA52" t="s">
        <v>202</v>
      </c>
      <c r="AB52" t="s">
        <v>203</v>
      </c>
      <c r="AC52" t="s">
        <v>52</v>
      </c>
      <c r="AD52" t="s">
        <v>53</v>
      </c>
      <c r="AE52" t="s">
        <v>53</v>
      </c>
      <c r="AF52" t="s">
        <v>204</v>
      </c>
      <c r="AG52" t="s">
        <v>55</v>
      </c>
      <c r="AL52" t="s">
        <v>45</v>
      </c>
      <c r="AM52">
        <v>1</v>
      </c>
      <c r="AN52" t="s">
        <v>46</v>
      </c>
      <c r="AO52" t="s">
        <v>47</v>
      </c>
      <c r="AQ52" t="s">
        <v>48</v>
      </c>
      <c r="AR52">
        <v>60.014499505194401</v>
      </c>
      <c r="AS52" t="s">
        <v>49</v>
      </c>
    </row>
    <row r="53" spans="1:45" x14ac:dyDescent="0.35">
      <c r="A53">
        <v>50</v>
      </c>
      <c r="B53">
        <v>0</v>
      </c>
      <c r="C53">
        <v>50</v>
      </c>
      <c r="D53" t="s">
        <v>205</v>
      </c>
      <c r="E53" t="s">
        <v>206</v>
      </c>
      <c r="F53" t="s">
        <v>52</v>
      </c>
      <c r="G53" t="s">
        <v>53</v>
      </c>
      <c r="H53" t="s">
        <v>53</v>
      </c>
      <c r="I53" t="s">
        <v>207</v>
      </c>
      <c r="J53" t="s">
        <v>55</v>
      </c>
      <c r="K53">
        <v>50</v>
      </c>
      <c r="L53">
        <v>0</v>
      </c>
      <c r="M53">
        <v>50</v>
      </c>
      <c r="N53">
        <v>0</v>
      </c>
      <c r="O53">
        <v>88.151116199995101</v>
      </c>
      <c r="U53">
        <v>5</v>
      </c>
      <c r="V53">
        <v>88.137406399997403</v>
      </c>
      <c r="W53">
        <v>88.151116199995101</v>
      </c>
      <c r="X53">
        <v>88.151116199995101</v>
      </c>
      <c r="Y53">
        <v>2.2812299983343099E-2</v>
      </c>
      <c r="Z53">
        <v>89.948689999990094</v>
      </c>
      <c r="AA53" t="s">
        <v>205</v>
      </c>
      <c r="AB53" t="s">
        <v>206</v>
      </c>
      <c r="AC53" t="s">
        <v>52</v>
      </c>
      <c r="AD53" t="s">
        <v>53</v>
      </c>
      <c r="AE53" t="s">
        <v>53</v>
      </c>
      <c r="AF53" t="s">
        <v>207</v>
      </c>
      <c r="AG53" t="s">
        <v>55</v>
      </c>
      <c r="AL53" t="s">
        <v>45</v>
      </c>
      <c r="AM53">
        <v>1</v>
      </c>
      <c r="AN53" t="s">
        <v>46</v>
      </c>
      <c r="AO53" t="s">
        <v>47</v>
      </c>
      <c r="AQ53" t="s">
        <v>48</v>
      </c>
      <c r="AR53">
        <v>60.014499505194401</v>
      </c>
      <c r="AS53" t="s">
        <v>49</v>
      </c>
    </row>
    <row r="54" spans="1:45" x14ac:dyDescent="0.35">
      <c r="A54">
        <v>51</v>
      </c>
      <c r="B54">
        <v>0</v>
      </c>
      <c r="C54">
        <v>51</v>
      </c>
      <c r="D54" t="s">
        <v>208</v>
      </c>
      <c r="E54" t="s">
        <v>209</v>
      </c>
      <c r="F54" t="s">
        <v>52</v>
      </c>
      <c r="G54" t="s">
        <v>53</v>
      </c>
      <c r="H54" t="s">
        <v>53</v>
      </c>
      <c r="I54" t="s">
        <v>210</v>
      </c>
      <c r="J54" t="s">
        <v>55</v>
      </c>
      <c r="K54">
        <v>51</v>
      </c>
      <c r="L54">
        <v>0</v>
      </c>
      <c r="M54">
        <v>51</v>
      </c>
      <c r="N54">
        <v>0</v>
      </c>
      <c r="O54">
        <v>90.012833699991404</v>
      </c>
      <c r="U54">
        <v>10</v>
      </c>
      <c r="V54">
        <v>89.995129899994893</v>
      </c>
      <c r="W54">
        <v>90.012833699991404</v>
      </c>
      <c r="X54">
        <v>90.012833699991404</v>
      </c>
      <c r="Y54">
        <v>4.5961499999975702E-2</v>
      </c>
      <c r="Z54">
        <v>91.080810199986402</v>
      </c>
      <c r="AA54" t="s">
        <v>208</v>
      </c>
      <c r="AB54" t="s">
        <v>209</v>
      </c>
      <c r="AC54" t="s">
        <v>52</v>
      </c>
      <c r="AD54" t="s">
        <v>53</v>
      </c>
      <c r="AE54" t="s">
        <v>53</v>
      </c>
      <c r="AF54" t="s">
        <v>210</v>
      </c>
      <c r="AG54" t="s">
        <v>55</v>
      </c>
      <c r="AL54" t="s">
        <v>45</v>
      </c>
      <c r="AM54">
        <v>1</v>
      </c>
      <c r="AN54" t="s">
        <v>46</v>
      </c>
      <c r="AO54" t="s">
        <v>47</v>
      </c>
      <c r="AQ54" t="s">
        <v>48</v>
      </c>
      <c r="AR54">
        <v>60.014499505194401</v>
      </c>
      <c r="AS54" t="s">
        <v>49</v>
      </c>
    </row>
    <row r="55" spans="1:45" x14ac:dyDescent="0.35">
      <c r="A55">
        <v>52</v>
      </c>
      <c r="B55">
        <v>0</v>
      </c>
      <c r="C55">
        <v>52</v>
      </c>
      <c r="D55" t="s">
        <v>211</v>
      </c>
      <c r="E55" t="s">
        <v>78</v>
      </c>
      <c r="F55" t="s">
        <v>52</v>
      </c>
      <c r="G55" t="s">
        <v>53</v>
      </c>
      <c r="H55" t="s">
        <v>53</v>
      </c>
      <c r="I55" t="s">
        <v>212</v>
      </c>
      <c r="J55" t="s">
        <v>55</v>
      </c>
      <c r="K55">
        <v>52</v>
      </c>
      <c r="L55">
        <v>0</v>
      </c>
      <c r="M55">
        <v>52</v>
      </c>
      <c r="N55">
        <v>0</v>
      </c>
      <c r="O55">
        <v>91.158216200012205</v>
      </c>
      <c r="U55">
        <v>10</v>
      </c>
      <c r="V55">
        <v>91.135269899998093</v>
      </c>
      <c r="W55">
        <v>91.158216200012205</v>
      </c>
      <c r="X55">
        <v>91.158216200012205</v>
      </c>
      <c r="Y55">
        <v>5.4214499978115699E-2</v>
      </c>
      <c r="Z55">
        <v>92.349991199997007</v>
      </c>
      <c r="AA55" t="s">
        <v>211</v>
      </c>
      <c r="AB55" t="s">
        <v>78</v>
      </c>
      <c r="AC55" t="s">
        <v>52</v>
      </c>
      <c r="AD55" t="s">
        <v>53</v>
      </c>
      <c r="AE55" t="s">
        <v>53</v>
      </c>
      <c r="AF55" t="s">
        <v>212</v>
      </c>
      <c r="AG55" t="s">
        <v>55</v>
      </c>
      <c r="AL55" t="s">
        <v>45</v>
      </c>
      <c r="AM55">
        <v>1</v>
      </c>
      <c r="AN55" t="s">
        <v>46</v>
      </c>
      <c r="AO55" t="s">
        <v>47</v>
      </c>
      <c r="AQ55" t="s">
        <v>48</v>
      </c>
      <c r="AR55">
        <v>60.014499505194401</v>
      </c>
      <c r="AS55" t="s">
        <v>49</v>
      </c>
    </row>
    <row r="56" spans="1:45" x14ac:dyDescent="0.35">
      <c r="A56">
        <v>53</v>
      </c>
      <c r="B56">
        <v>0</v>
      </c>
      <c r="C56">
        <v>53</v>
      </c>
      <c r="D56" t="s">
        <v>213</v>
      </c>
      <c r="E56" t="s">
        <v>126</v>
      </c>
      <c r="F56" t="s">
        <v>52</v>
      </c>
      <c r="G56" t="s">
        <v>53</v>
      </c>
      <c r="H56" t="s">
        <v>53</v>
      </c>
      <c r="I56" t="s">
        <v>214</v>
      </c>
      <c r="J56" t="s">
        <v>55</v>
      </c>
      <c r="K56">
        <v>53</v>
      </c>
      <c r="L56">
        <v>0</v>
      </c>
      <c r="M56">
        <v>53</v>
      </c>
      <c r="N56">
        <v>0</v>
      </c>
      <c r="O56">
        <v>92.387739600002504</v>
      </c>
      <c r="U56">
        <v>5</v>
      </c>
      <c r="V56">
        <v>92.374590299994395</v>
      </c>
      <c r="W56">
        <v>92.387739600002504</v>
      </c>
      <c r="X56">
        <v>92.387739600002504</v>
      </c>
      <c r="Y56">
        <v>2.4204499990446399E-2</v>
      </c>
      <c r="Z56">
        <v>94.032201800000607</v>
      </c>
      <c r="AA56" t="s">
        <v>213</v>
      </c>
      <c r="AB56" t="s">
        <v>126</v>
      </c>
      <c r="AC56" t="s">
        <v>52</v>
      </c>
      <c r="AD56" t="s">
        <v>53</v>
      </c>
      <c r="AE56" t="s">
        <v>53</v>
      </c>
      <c r="AF56" t="s">
        <v>214</v>
      </c>
      <c r="AG56" t="s">
        <v>55</v>
      </c>
      <c r="AL56" t="s">
        <v>45</v>
      </c>
      <c r="AM56">
        <v>1</v>
      </c>
      <c r="AN56" t="s">
        <v>46</v>
      </c>
      <c r="AO56" t="s">
        <v>47</v>
      </c>
      <c r="AQ56" t="s">
        <v>48</v>
      </c>
      <c r="AR56">
        <v>60.014499505194401</v>
      </c>
      <c r="AS56" t="s">
        <v>49</v>
      </c>
    </row>
    <row r="57" spans="1:45" x14ac:dyDescent="0.35">
      <c r="A57">
        <v>54</v>
      </c>
      <c r="B57">
        <v>0</v>
      </c>
      <c r="C57">
        <v>54</v>
      </c>
      <c r="D57" t="s">
        <v>199</v>
      </c>
      <c r="E57" t="s">
        <v>182</v>
      </c>
      <c r="F57" t="s">
        <v>52</v>
      </c>
      <c r="G57" t="s">
        <v>53</v>
      </c>
      <c r="H57" t="s">
        <v>53</v>
      </c>
      <c r="I57" t="s">
        <v>215</v>
      </c>
      <c r="J57" t="s">
        <v>55</v>
      </c>
      <c r="K57">
        <v>54</v>
      </c>
      <c r="L57">
        <v>0</v>
      </c>
      <c r="M57">
        <v>54</v>
      </c>
      <c r="N57">
        <v>0</v>
      </c>
      <c r="O57">
        <v>94.097308199998196</v>
      </c>
      <c r="U57">
        <v>10</v>
      </c>
      <c r="V57">
        <v>94.080171300010903</v>
      </c>
      <c r="W57">
        <v>94.097308199998196</v>
      </c>
      <c r="X57">
        <v>94.097308199998196</v>
      </c>
      <c r="Y57">
        <v>4.7699500020826201E-2</v>
      </c>
      <c r="Z57">
        <v>96.646979200013405</v>
      </c>
      <c r="AA57" t="s">
        <v>199</v>
      </c>
      <c r="AB57" t="s">
        <v>182</v>
      </c>
      <c r="AC57" t="s">
        <v>52</v>
      </c>
      <c r="AD57" t="s">
        <v>53</v>
      </c>
      <c r="AE57" t="s">
        <v>53</v>
      </c>
      <c r="AF57" t="s">
        <v>215</v>
      </c>
      <c r="AG57" t="s">
        <v>55</v>
      </c>
      <c r="AL57" t="s">
        <v>45</v>
      </c>
      <c r="AM57">
        <v>1</v>
      </c>
      <c r="AN57" t="s">
        <v>46</v>
      </c>
      <c r="AO57" t="s">
        <v>47</v>
      </c>
      <c r="AQ57" t="s">
        <v>48</v>
      </c>
      <c r="AR57">
        <v>60.014499505194401</v>
      </c>
      <c r="AS57" t="s">
        <v>49</v>
      </c>
    </row>
    <row r="58" spans="1:45" x14ac:dyDescent="0.35">
      <c r="A58">
        <v>55</v>
      </c>
      <c r="B58">
        <v>0</v>
      </c>
      <c r="C58">
        <v>55</v>
      </c>
      <c r="D58" t="s">
        <v>216</v>
      </c>
      <c r="E58" t="s">
        <v>217</v>
      </c>
      <c r="F58" t="s">
        <v>52</v>
      </c>
      <c r="G58" t="s">
        <v>53</v>
      </c>
      <c r="H58" t="s">
        <v>53</v>
      </c>
      <c r="I58" t="s">
        <v>218</v>
      </c>
      <c r="J58" t="s">
        <v>55</v>
      </c>
      <c r="K58">
        <v>55</v>
      </c>
      <c r="L58">
        <v>0</v>
      </c>
      <c r="M58">
        <v>55</v>
      </c>
      <c r="N58">
        <v>0</v>
      </c>
      <c r="O58">
        <v>96.6816749999998</v>
      </c>
      <c r="U58">
        <v>5</v>
      </c>
      <c r="V58">
        <v>96.669213899993295</v>
      </c>
      <c r="W58">
        <v>96.6816749999998</v>
      </c>
      <c r="X58">
        <v>96.6816749999998</v>
      </c>
      <c r="Y58">
        <v>2.20176000148057E-2</v>
      </c>
      <c r="Z58">
        <v>98.4993978000129</v>
      </c>
      <c r="AA58" t="s">
        <v>216</v>
      </c>
      <c r="AB58" t="s">
        <v>217</v>
      </c>
      <c r="AC58" t="s">
        <v>52</v>
      </c>
      <c r="AD58" t="s">
        <v>53</v>
      </c>
      <c r="AE58" t="s">
        <v>53</v>
      </c>
      <c r="AF58" t="s">
        <v>218</v>
      </c>
      <c r="AG58" t="s">
        <v>55</v>
      </c>
      <c r="AL58" t="s">
        <v>45</v>
      </c>
      <c r="AM58">
        <v>1</v>
      </c>
      <c r="AN58" t="s">
        <v>46</v>
      </c>
      <c r="AO58" t="s">
        <v>47</v>
      </c>
      <c r="AQ58" t="s">
        <v>48</v>
      </c>
      <c r="AR58">
        <v>60.014499505194401</v>
      </c>
      <c r="AS58" t="s">
        <v>49</v>
      </c>
    </row>
    <row r="59" spans="1:45" x14ac:dyDescent="0.35">
      <c r="A59">
        <v>56</v>
      </c>
      <c r="B59">
        <v>0</v>
      </c>
      <c r="C59">
        <v>56</v>
      </c>
      <c r="D59" t="s">
        <v>219</v>
      </c>
      <c r="E59" t="s">
        <v>220</v>
      </c>
      <c r="F59" t="s">
        <v>52</v>
      </c>
      <c r="G59" t="s">
        <v>53</v>
      </c>
      <c r="H59" t="s">
        <v>53</v>
      </c>
      <c r="I59" t="s">
        <v>221</v>
      </c>
      <c r="J59" t="s">
        <v>55</v>
      </c>
      <c r="K59">
        <v>56</v>
      </c>
      <c r="L59">
        <v>0</v>
      </c>
      <c r="M59">
        <v>56</v>
      </c>
      <c r="N59">
        <v>0</v>
      </c>
      <c r="O59">
        <v>98.570071099995403</v>
      </c>
      <c r="U59">
        <v>10</v>
      </c>
      <c r="V59">
        <v>98.550387199997203</v>
      </c>
      <c r="W59">
        <v>98.570071099995403</v>
      </c>
      <c r="X59">
        <v>98.570071099995403</v>
      </c>
      <c r="Y59">
        <v>5.0737300014588899E-2</v>
      </c>
      <c r="Z59">
        <v>99.832027900003595</v>
      </c>
      <c r="AA59" t="s">
        <v>219</v>
      </c>
      <c r="AB59" t="s">
        <v>220</v>
      </c>
      <c r="AC59" t="s">
        <v>52</v>
      </c>
      <c r="AD59" t="s">
        <v>53</v>
      </c>
      <c r="AE59" t="s">
        <v>53</v>
      </c>
      <c r="AF59" t="s">
        <v>221</v>
      </c>
      <c r="AG59" t="s">
        <v>55</v>
      </c>
      <c r="AL59" t="s">
        <v>45</v>
      </c>
      <c r="AM59">
        <v>1</v>
      </c>
      <c r="AN59" t="s">
        <v>46</v>
      </c>
      <c r="AO59" t="s">
        <v>47</v>
      </c>
      <c r="AQ59" t="s">
        <v>48</v>
      </c>
      <c r="AR59">
        <v>60.014499505194401</v>
      </c>
      <c r="AS59" t="s">
        <v>49</v>
      </c>
    </row>
    <row r="60" spans="1:45" x14ac:dyDescent="0.35">
      <c r="A60">
        <v>57</v>
      </c>
      <c r="B60">
        <v>0</v>
      </c>
      <c r="C60">
        <v>57</v>
      </c>
      <c r="D60" t="s">
        <v>222</v>
      </c>
      <c r="E60" t="s">
        <v>223</v>
      </c>
      <c r="F60" t="s">
        <v>52</v>
      </c>
      <c r="G60" t="s">
        <v>53</v>
      </c>
      <c r="H60" t="s">
        <v>53</v>
      </c>
      <c r="I60" t="s">
        <v>224</v>
      </c>
      <c r="J60" t="s">
        <v>55</v>
      </c>
      <c r="K60">
        <v>57</v>
      </c>
      <c r="L60">
        <v>0</v>
      </c>
      <c r="M60">
        <v>57</v>
      </c>
      <c r="N60">
        <v>0</v>
      </c>
      <c r="O60">
        <v>99.894352300005195</v>
      </c>
      <c r="U60">
        <v>10</v>
      </c>
      <c r="V60">
        <v>99.874984699999899</v>
      </c>
      <c r="W60">
        <v>99.894352300005195</v>
      </c>
      <c r="X60">
        <v>99.894352300005195</v>
      </c>
      <c r="Y60">
        <v>4.2704599996795801E-2</v>
      </c>
      <c r="Z60">
        <v>101.09636590001099</v>
      </c>
      <c r="AA60" t="s">
        <v>222</v>
      </c>
      <c r="AB60" t="s">
        <v>223</v>
      </c>
      <c r="AC60" t="s">
        <v>52</v>
      </c>
      <c r="AD60" t="s">
        <v>53</v>
      </c>
      <c r="AE60" t="s">
        <v>53</v>
      </c>
      <c r="AF60" t="s">
        <v>224</v>
      </c>
      <c r="AG60" t="s">
        <v>55</v>
      </c>
      <c r="AL60" t="s">
        <v>45</v>
      </c>
      <c r="AM60">
        <v>1</v>
      </c>
      <c r="AN60" t="s">
        <v>46</v>
      </c>
      <c r="AO60" t="s">
        <v>47</v>
      </c>
      <c r="AQ60" t="s">
        <v>48</v>
      </c>
      <c r="AR60">
        <v>60.014499505194401</v>
      </c>
      <c r="AS60" t="s">
        <v>49</v>
      </c>
    </row>
    <row r="61" spans="1:45" x14ac:dyDescent="0.35">
      <c r="A61">
        <v>58</v>
      </c>
      <c r="B61">
        <v>0</v>
      </c>
      <c r="C61">
        <v>58</v>
      </c>
      <c r="D61" t="s">
        <v>225</v>
      </c>
      <c r="E61" t="s">
        <v>226</v>
      </c>
      <c r="F61" t="s">
        <v>52</v>
      </c>
      <c r="G61" t="s">
        <v>53</v>
      </c>
      <c r="H61" t="s">
        <v>53</v>
      </c>
      <c r="I61" t="s">
        <v>227</v>
      </c>
      <c r="J61" t="s">
        <v>55</v>
      </c>
      <c r="K61">
        <v>58</v>
      </c>
      <c r="L61">
        <v>0</v>
      </c>
      <c r="M61">
        <v>58</v>
      </c>
      <c r="N61">
        <v>0</v>
      </c>
      <c r="O61">
        <v>101.131200500007</v>
      </c>
      <c r="U61">
        <v>5</v>
      </c>
      <c r="V61">
        <v>101.11904849999701</v>
      </c>
      <c r="W61">
        <v>101.131200500007</v>
      </c>
      <c r="X61">
        <v>101.131200500007</v>
      </c>
      <c r="Y61">
        <v>2.2458799998275901E-2</v>
      </c>
      <c r="Z61">
        <v>102.132181699998</v>
      </c>
      <c r="AA61" t="s">
        <v>225</v>
      </c>
      <c r="AB61" t="s">
        <v>226</v>
      </c>
      <c r="AC61" t="s">
        <v>52</v>
      </c>
      <c r="AD61" t="s">
        <v>53</v>
      </c>
      <c r="AE61" t="s">
        <v>53</v>
      </c>
      <c r="AF61" t="s">
        <v>227</v>
      </c>
      <c r="AG61" t="s">
        <v>55</v>
      </c>
      <c r="AL61" t="s">
        <v>45</v>
      </c>
      <c r="AM61">
        <v>1</v>
      </c>
      <c r="AN61" t="s">
        <v>46</v>
      </c>
      <c r="AO61" t="s">
        <v>47</v>
      </c>
      <c r="AQ61" t="s">
        <v>48</v>
      </c>
      <c r="AR61">
        <v>60.014499505194401</v>
      </c>
      <c r="AS61" t="s">
        <v>49</v>
      </c>
    </row>
    <row r="62" spans="1:45" x14ac:dyDescent="0.35">
      <c r="A62">
        <v>59</v>
      </c>
      <c r="B62">
        <v>0</v>
      </c>
      <c r="C62">
        <v>59</v>
      </c>
      <c r="D62" t="s">
        <v>228</v>
      </c>
      <c r="E62" t="s">
        <v>229</v>
      </c>
      <c r="F62" t="s">
        <v>52</v>
      </c>
      <c r="G62" t="s">
        <v>53</v>
      </c>
      <c r="H62" t="s">
        <v>53</v>
      </c>
      <c r="I62" t="s">
        <v>230</v>
      </c>
      <c r="J62" t="s">
        <v>55</v>
      </c>
      <c r="K62">
        <v>59</v>
      </c>
      <c r="L62">
        <v>0</v>
      </c>
      <c r="M62">
        <v>59</v>
      </c>
      <c r="N62">
        <v>0</v>
      </c>
      <c r="O62">
        <v>102.168772400007</v>
      </c>
      <c r="U62">
        <v>5</v>
      </c>
      <c r="V62">
        <v>102.157082799996</v>
      </c>
      <c r="W62">
        <v>102.168772400007</v>
      </c>
      <c r="X62">
        <v>102.168772400007</v>
      </c>
      <c r="Y62">
        <v>2.4726899981033001E-2</v>
      </c>
      <c r="Z62">
        <v>103.431701499997</v>
      </c>
      <c r="AA62" t="s">
        <v>228</v>
      </c>
      <c r="AB62" t="s">
        <v>229</v>
      </c>
      <c r="AC62" t="s">
        <v>52</v>
      </c>
      <c r="AD62" t="s">
        <v>53</v>
      </c>
      <c r="AE62" t="s">
        <v>53</v>
      </c>
      <c r="AF62" t="s">
        <v>230</v>
      </c>
      <c r="AG62" t="s">
        <v>55</v>
      </c>
      <c r="AL62" t="s">
        <v>45</v>
      </c>
      <c r="AM62">
        <v>1</v>
      </c>
      <c r="AN62" t="s">
        <v>46</v>
      </c>
      <c r="AO62" t="s">
        <v>47</v>
      </c>
      <c r="AQ62" t="s">
        <v>48</v>
      </c>
      <c r="AR62">
        <v>60.014499505194401</v>
      </c>
      <c r="AS62" t="s">
        <v>49</v>
      </c>
    </row>
    <row r="63" spans="1:45" x14ac:dyDescent="0.35">
      <c r="A63">
        <v>60</v>
      </c>
      <c r="B63">
        <v>0</v>
      </c>
      <c r="C63">
        <v>60</v>
      </c>
      <c r="D63" t="s">
        <v>231</v>
      </c>
      <c r="E63" t="s">
        <v>232</v>
      </c>
      <c r="F63" t="s">
        <v>52</v>
      </c>
      <c r="G63" t="s">
        <v>53</v>
      </c>
      <c r="H63" t="s">
        <v>53</v>
      </c>
      <c r="I63" t="s">
        <v>233</v>
      </c>
      <c r="J63" t="s">
        <v>55</v>
      </c>
      <c r="K63">
        <v>60</v>
      </c>
      <c r="L63">
        <v>0</v>
      </c>
      <c r="M63">
        <v>60</v>
      </c>
      <c r="N63">
        <v>0</v>
      </c>
      <c r="O63">
        <v>103.47024709999</v>
      </c>
      <c r="U63">
        <v>5</v>
      </c>
      <c r="V63">
        <v>103.457887900003</v>
      </c>
      <c r="W63">
        <v>103.47024709999</v>
      </c>
      <c r="X63">
        <v>103.47024709999</v>
      </c>
      <c r="Y63">
        <v>2.5911000004271E-2</v>
      </c>
      <c r="Z63">
        <v>104.898216000001</v>
      </c>
      <c r="AA63" t="s">
        <v>231</v>
      </c>
      <c r="AB63" t="s">
        <v>232</v>
      </c>
      <c r="AC63" t="s">
        <v>52</v>
      </c>
      <c r="AD63" t="s">
        <v>53</v>
      </c>
      <c r="AE63" t="s">
        <v>53</v>
      </c>
      <c r="AF63" t="s">
        <v>233</v>
      </c>
      <c r="AG63" t="s">
        <v>55</v>
      </c>
      <c r="AL63" t="s">
        <v>45</v>
      </c>
      <c r="AM63">
        <v>1</v>
      </c>
      <c r="AN63" t="s">
        <v>46</v>
      </c>
      <c r="AO63" t="s">
        <v>47</v>
      </c>
      <c r="AQ63" t="s">
        <v>48</v>
      </c>
      <c r="AR63">
        <v>60.014499505194401</v>
      </c>
      <c r="AS63" t="s">
        <v>49</v>
      </c>
    </row>
    <row r="64" spans="1:45" x14ac:dyDescent="0.35">
      <c r="A64">
        <v>61</v>
      </c>
      <c r="B64">
        <v>0</v>
      </c>
      <c r="C64">
        <v>61</v>
      </c>
      <c r="D64" t="s">
        <v>234</v>
      </c>
      <c r="E64" t="s">
        <v>235</v>
      </c>
      <c r="F64" t="s">
        <v>58</v>
      </c>
      <c r="G64" t="s">
        <v>59</v>
      </c>
      <c r="H64" t="s">
        <v>59</v>
      </c>
      <c r="I64" t="s">
        <v>236</v>
      </c>
      <c r="J64" t="s">
        <v>61</v>
      </c>
      <c r="K64">
        <v>61</v>
      </c>
      <c r="L64">
        <v>0</v>
      </c>
      <c r="M64">
        <v>61</v>
      </c>
      <c r="N64">
        <v>0</v>
      </c>
      <c r="O64">
        <v>104.934481300006</v>
      </c>
      <c r="U64">
        <v>5</v>
      </c>
      <c r="V64">
        <v>104.92379470000699</v>
      </c>
      <c r="W64">
        <v>104.934481300006</v>
      </c>
      <c r="X64">
        <v>104.934481300006</v>
      </c>
      <c r="Y64">
        <v>2.5396399985766E-2</v>
      </c>
      <c r="Z64">
        <v>107.129812500003</v>
      </c>
      <c r="AA64" t="s">
        <v>234</v>
      </c>
      <c r="AB64" t="s">
        <v>235</v>
      </c>
      <c r="AC64" t="s">
        <v>58</v>
      </c>
      <c r="AD64" t="s">
        <v>59</v>
      </c>
      <c r="AE64" t="s">
        <v>59</v>
      </c>
      <c r="AF64" t="s">
        <v>236</v>
      </c>
      <c r="AG64" t="s">
        <v>61</v>
      </c>
      <c r="AL64" t="s">
        <v>45</v>
      </c>
      <c r="AM64">
        <v>1</v>
      </c>
      <c r="AN64" t="s">
        <v>46</v>
      </c>
      <c r="AO64" t="s">
        <v>47</v>
      </c>
      <c r="AQ64" t="s">
        <v>48</v>
      </c>
      <c r="AR64">
        <v>60.014499505194401</v>
      </c>
      <c r="AS64" t="s">
        <v>49</v>
      </c>
    </row>
    <row r="65" spans="1:45" x14ac:dyDescent="0.35">
      <c r="A65">
        <v>62</v>
      </c>
      <c r="B65">
        <v>0</v>
      </c>
      <c r="C65">
        <v>62</v>
      </c>
      <c r="D65" t="s">
        <v>237</v>
      </c>
      <c r="E65" t="s">
        <v>86</v>
      </c>
      <c r="F65" t="s">
        <v>52</v>
      </c>
      <c r="G65" t="s">
        <v>53</v>
      </c>
      <c r="H65" t="s">
        <v>53</v>
      </c>
      <c r="I65" t="s">
        <v>238</v>
      </c>
      <c r="J65" t="s">
        <v>55</v>
      </c>
      <c r="K65">
        <v>62</v>
      </c>
      <c r="L65">
        <v>0</v>
      </c>
      <c r="M65">
        <v>62</v>
      </c>
      <c r="N65">
        <v>0</v>
      </c>
      <c r="O65">
        <v>107.165181999997</v>
      </c>
      <c r="U65">
        <v>5</v>
      </c>
      <c r="V65">
        <v>107.15405069998801</v>
      </c>
      <c r="W65">
        <v>107.165181999997</v>
      </c>
      <c r="X65">
        <v>107.165181999997</v>
      </c>
      <c r="Y65">
        <v>2.40229000046383E-2</v>
      </c>
      <c r="Z65">
        <v>108.48507279998699</v>
      </c>
      <c r="AA65" t="s">
        <v>237</v>
      </c>
      <c r="AB65" t="s">
        <v>86</v>
      </c>
      <c r="AC65" t="s">
        <v>52</v>
      </c>
      <c r="AD65" t="s">
        <v>53</v>
      </c>
      <c r="AE65" t="s">
        <v>53</v>
      </c>
      <c r="AF65" t="s">
        <v>238</v>
      </c>
      <c r="AG65" t="s">
        <v>55</v>
      </c>
      <c r="AL65" t="s">
        <v>45</v>
      </c>
      <c r="AM65">
        <v>1</v>
      </c>
      <c r="AN65" t="s">
        <v>46</v>
      </c>
      <c r="AO65" t="s">
        <v>47</v>
      </c>
      <c r="AQ65" t="s">
        <v>48</v>
      </c>
      <c r="AR65">
        <v>60.014499505194401</v>
      </c>
      <c r="AS65" t="s">
        <v>49</v>
      </c>
    </row>
    <row r="66" spans="1:45" x14ac:dyDescent="0.35">
      <c r="A66">
        <v>63</v>
      </c>
      <c r="B66">
        <v>0</v>
      </c>
      <c r="C66">
        <v>63</v>
      </c>
      <c r="D66" t="s">
        <v>239</v>
      </c>
      <c r="E66" t="s">
        <v>240</v>
      </c>
      <c r="F66" t="s">
        <v>52</v>
      </c>
      <c r="G66" t="s">
        <v>53</v>
      </c>
      <c r="H66" t="s">
        <v>53</v>
      </c>
      <c r="I66" t="s">
        <v>241</v>
      </c>
      <c r="J66" t="s">
        <v>55</v>
      </c>
      <c r="K66">
        <v>63</v>
      </c>
      <c r="L66">
        <v>0</v>
      </c>
      <c r="M66">
        <v>63</v>
      </c>
      <c r="N66">
        <v>0</v>
      </c>
      <c r="O66">
        <v>108.520825999992</v>
      </c>
      <c r="U66">
        <v>5</v>
      </c>
      <c r="V66">
        <v>108.506964800006</v>
      </c>
      <c r="W66">
        <v>108.520825999992</v>
      </c>
      <c r="X66">
        <v>108.520825999992</v>
      </c>
      <c r="Y66">
        <v>2.17146999784745E-2</v>
      </c>
      <c r="Z66">
        <v>109.66360209998599</v>
      </c>
      <c r="AA66" t="s">
        <v>239</v>
      </c>
      <c r="AB66" t="s">
        <v>240</v>
      </c>
      <c r="AC66" t="s">
        <v>52</v>
      </c>
      <c r="AD66" t="s">
        <v>53</v>
      </c>
      <c r="AE66" t="s">
        <v>53</v>
      </c>
      <c r="AF66" t="s">
        <v>241</v>
      </c>
      <c r="AG66" t="s">
        <v>55</v>
      </c>
      <c r="AL66" t="s">
        <v>45</v>
      </c>
      <c r="AM66">
        <v>1</v>
      </c>
      <c r="AN66" t="s">
        <v>46</v>
      </c>
      <c r="AO66" t="s">
        <v>47</v>
      </c>
      <c r="AQ66" t="s">
        <v>48</v>
      </c>
      <c r="AR66">
        <v>60.014499505194401</v>
      </c>
      <c r="AS66" t="s">
        <v>49</v>
      </c>
    </row>
    <row r="67" spans="1:45" x14ac:dyDescent="0.35">
      <c r="A67">
        <v>64</v>
      </c>
      <c r="B67">
        <v>0</v>
      </c>
      <c r="C67">
        <v>64</v>
      </c>
      <c r="D67" t="s">
        <v>242</v>
      </c>
      <c r="E67" t="s">
        <v>243</v>
      </c>
      <c r="F67" t="s">
        <v>52</v>
      </c>
      <c r="G67" t="s">
        <v>53</v>
      </c>
      <c r="H67" t="s">
        <v>53</v>
      </c>
      <c r="I67" t="s">
        <v>244</v>
      </c>
      <c r="J67" t="s">
        <v>55</v>
      </c>
      <c r="K67">
        <v>64</v>
      </c>
      <c r="L67">
        <v>0</v>
      </c>
      <c r="M67">
        <v>64</v>
      </c>
      <c r="N67">
        <v>0</v>
      </c>
      <c r="O67">
        <v>109.697327400004</v>
      </c>
      <c r="U67">
        <v>5</v>
      </c>
      <c r="V67">
        <v>109.685578400007</v>
      </c>
      <c r="W67">
        <v>109.697327400004</v>
      </c>
      <c r="X67">
        <v>109.697327400004</v>
      </c>
      <c r="Y67">
        <v>2.1791099978145202E-2</v>
      </c>
      <c r="Z67">
        <v>110.831941599986</v>
      </c>
      <c r="AA67" t="s">
        <v>242</v>
      </c>
      <c r="AB67" t="s">
        <v>243</v>
      </c>
      <c r="AC67" t="s">
        <v>52</v>
      </c>
      <c r="AD67" t="s">
        <v>53</v>
      </c>
      <c r="AE67" t="s">
        <v>53</v>
      </c>
      <c r="AF67" t="s">
        <v>244</v>
      </c>
      <c r="AG67" t="s">
        <v>55</v>
      </c>
      <c r="AL67" t="s">
        <v>45</v>
      </c>
      <c r="AM67">
        <v>1</v>
      </c>
      <c r="AN67" t="s">
        <v>46</v>
      </c>
      <c r="AO67" t="s">
        <v>47</v>
      </c>
      <c r="AQ67" t="s">
        <v>48</v>
      </c>
      <c r="AR67">
        <v>60.014499505194401</v>
      </c>
      <c r="AS67" t="s">
        <v>49</v>
      </c>
    </row>
    <row r="68" spans="1:45" x14ac:dyDescent="0.35">
      <c r="A68">
        <v>65</v>
      </c>
      <c r="B68">
        <v>0</v>
      </c>
      <c r="C68">
        <v>65</v>
      </c>
      <c r="D68" t="s">
        <v>245</v>
      </c>
      <c r="E68" t="s">
        <v>246</v>
      </c>
      <c r="F68" t="s">
        <v>52</v>
      </c>
      <c r="G68" t="s">
        <v>53</v>
      </c>
      <c r="H68" t="s">
        <v>53</v>
      </c>
      <c r="I68" t="s">
        <v>247</v>
      </c>
      <c r="J68" t="s">
        <v>55</v>
      </c>
      <c r="K68">
        <v>65</v>
      </c>
      <c r="L68">
        <v>0</v>
      </c>
      <c r="M68">
        <v>65</v>
      </c>
      <c r="N68">
        <v>0</v>
      </c>
      <c r="O68">
        <v>110.898307099996</v>
      </c>
      <c r="U68">
        <v>10</v>
      </c>
      <c r="V68">
        <v>110.87895169999599</v>
      </c>
      <c r="W68">
        <v>110.898307099996</v>
      </c>
      <c r="X68">
        <v>110.898307099996</v>
      </c>
      <c r="Y68">
        <v>4.6643200010293998E-2</v>
      </c>
      <c r="Z68">
        <v>112.14919019999699</v>
      </c>
      <c r="AA68" t="s">
        <v>245</v>
      </c>
      <c r="AB68" t="s">
        <v>246</v>
      </c>
      <c r="AC68" t="s">
        <v>52</v>
      </c>
      <c r="AD68" t="s">
        <v>53</v>
      </c>
      <c r="AE68" t="s">
        <v>53</v>
      </c>
      <c r="AF68" t="s">
        <v>247</v>
      </c>
      <c r="AG68" t="s">
        <v>55</v>
      </c>
      <c r="AL68" t="s">
        <v>45</v>
      </c>
      <c r="AM68">
        <v>1</v>
      </c>
      <c r="AN68" t="s">
        <v>46</v>
      </c>
      <c r="AO68" t="s">
        <v>47</v>
      </c>
      <c r="AQ68" t="s">
        <v>48</v>
      </c>
      <c r="AR68">
        <v>60.014499505194401</v>
      </c>
      <c r="AS68" t="s">
        <v>49</v>
      </c>
    </row>
    <row r="69" spans="1:45" x14ac:dyDescent="0.35">
      <c r="A69">
        <v>66</v>
      </c>
      <c r="B69">
        <v>0</v>
      </c>
      <c r="C69">
        <v>66</v>
      </c>
      <c r="D69" t="s">
        <v>248</v>
      </c>
      <c r="E69" t="s">
        <v>249</v>
      </c>
      <c r="F69" t="s">
        <v>52</v>
      </c>
      <c r="G69" t="s">
        <v>53</v>
      </c>
      <c r="H69" t="s">
        <v>53</v>
      </c>
      <c r="I69" t="s">
        <v>250</v>
      </c>
      <c r="J69" t="s">
        <v>55</v>
      </c>
      <c r="K69">
        <v>66</v>
      </c>
      <c r="L69">
        <v>0</v>
      </c>
      <c r="M69">
        <v>66</v>
      </c>
      <c r="N69">
        <v>0</v>
      </c>
      <c r="O69">
        <v>112.18805130000599</v>
      </c>
      <c r="U69">
        <v>5</v>
      </c>
      <c r="V69">
        <v>112.17414250000699</v>
      </c>
      <c r="W69">
        <v>112.18805130000599</v>
      </c>
      <c r="X69">
        <v>112.18805130000599</v>
      </c>
      <c r="Y69">
        <v>2.4574100010795501E-2</v>
      </c>
      <c r="Z69">
        <v>113.79775820000199</v>
      </c>
      <c r="AA69" t="s">
        <v>248</v>
      </c>
      <c r="AB69" t="s">
        <v>249</v>
      </c>
      <c r="AC69" t="s">
        <v>52</v>
      </c>
      <c r="AD69" t="s">
        <v>53</v>
      </c>
      <c r="AE69" t="s">
        <v>53</v>
      </c>
      <c r="AF69" t="s">
        <v>250</v>
      </c>
      <c r="AG69" t="s">
        <v>55</v>
      </c>
      <c r="AL69" t="s">
        <v>45</v>
      </c>
      <c r="AM69">
        <v>1</v>
      </c>
      <c r="AN69" t="s">
        <v>46</v>
      </c>
      <c r="AO69" t="s">
        <v>47</v>
      </c>
      <c r="AQ69" t="s">
        <v>48</v>
      </c>
      <c r="AR69">
        <v>60.014499505194401</v>
      </c>
      <c r="AS69" t="s">
        <v>49</v>
      </c>
    </row>
    <row r="70" spans="1:45" x14ac:dyDescent="0.35">
      <c r="A70">
        <v>67</v>
      </c>
      <c r="B70">
        <v>0</v>
      </c>
      <c r="C70">
        <v>67</v>
      </c>
      <c r="D70" t="s">
        <v>251</v>
      </c>
      <c r="E70" t="s">
        <v>125</v>
      </c>
      <c r="F70" t="s">
        <v>52</v>
      </c>
      <c r="G70" t="s">
        <v>53</v>
      </c>
      <c r="H70" t="s">
        <v>53</v>
      </c>
      <c r="I70" t="s">
        <v>252</v>
      </c>
      <c r="J70" t="s">
        <v>55</v>
      </c>
      <c r="K70">
        <v>67</v>
      </c>
      <c r="L70">
        <v>0</v>
      </c>
      <c r="M70">
        <v>67</v>
      </c>
      <c r="N70">
        <v>0</v>
      </c>
      <c r="O70">
        <v>113.857992000004</v>
      </c>
      <c r="U70">
        <v>10</v>
      </c>
      <c r="V70">
        <v>113.84075629999199</v>
      </c>
      <c r="W70">
        <v>113.857992000004</v>
      </c>
      <c r="X70">
        <v>113.857992000004</v>
      </c>
      <c r="Y70">
        <v>4.2822399991564397E-2</v>
      </c>
      <c r="Z70">
        <v>115.649651299987</v>
      </c>
      <c r="AA70" t="s">
        <v>251</v>
      </c>
      <c r="AB70" t="s">
        <v>125</v>
      </c>
      <c r="AC70" t="s">
        <v>52</v>
      </c>
      <c r="AD70" t="s">
        <v>53</v>
      </c>
      <c r="AE70" t="s">
        <v>53</v>
      </c>
      <c r="AF70" t="s">
        <v>252</v>
      </c>
      <c r="AG70" t="s">
        <v>55</v>
      </c>
      <c r="AL70" t="s">
        <v>45</v>
      </c>
      <c r="AM70">
        <v>1</v>
      </c>
      <c r="AN70" t="s">
        <v>46</v>
      </c>
      <c r="AO70" t="s">
        <v>47</v>
      </c>
      <c r="AQ70" t="s">
        <v>48</v>
      </c>
      <c r="AR70">
        <v>60.014499505194401</v>
      </c>
      <c r="AS70" t="s">
        <v>49</v>
      </c>
    </row>
    <row r="71" spans="1:45" x14ac:dyDescent="0.35">
      <c r="A71">
        <v>68</v>
      </c>
      <c r="B71">
        <v>0</v>
      </c>
      <c r="C71">
        <v>68</v>
      </c>
      <c r="D71" t="s">
        <v>253</v>
      </c>
      <c r="E71" t="s">
        <v>254</v>
      </c>
      <c r="F71" t="s">
        <v>52</v>
      </c>
      <c r="G71" t="s">
        <v>53</v>
      </c>
      <c r="H71" t="s">
        <v>53</v>
      </c>
      <c r="I71" t="s">
        <v>255</v>
      </c>
      <c r="J71" t="s">
        <v>55</v>
      </c>
      <c r="K71">
        <v>68</v>
      </c>
      <c r="L71">
        <v>0</v>
      </c>
      <c r="M71">
        <v>68</v>
      </c>
      <c r="N71">
        <v>0</v>
      </c>
      <c r="O71">
        <v>115.711758299992</v>
      </c>
      <c r="U71">
        <v>10</v>
      </c>
      <c r="V71">
        <v>115.694713900011</v>
      </c>
      <c r="W71">
        <v>115.711758299992</v>
      </c>
      <c r="X71">
        <v>115.711758299992</v>
      </c>
      <c r="Y71">
        <v>4.4869900011690299E-2</v>
      </c>
      <c r="Z71">
        <v>117.213031499995</v>
      </c>
      <c r="AA71" t="s">
        <v>253</v>
      </c>
      <c r="AB71" t="s">
        <v>254</v>
      </c>
      <c r="AC71" t="s">
        <v>52</v>
      </c>
      <c r="AD71" t="s">
        <v>53</v>
      </c>
      <c r="AE71" t="s">
        <v>53</v>
      </c>
      <c r="AF71" t="s">
        <v>255</v>
      </c>
      <c r="AG71" t="s">
        <v>55</v>
      </c>
      <c r="AL71" t="s">
        <v>45</v>
      </c>
      <c r="AM71">
        <v>1</v>
      </c>
      <c r="AN71" t="s">
        <v>46</v>
      </c>
      <c r="AO71" t="s">
        <v>47</v>
      </c>
      <c r="AQ71" t="s">
        <v>48</v>
      </c>
      <c r="AR71">
        <v>60.014499505194401</v>
      </c>
      <c r="AS71" t="s">
        <v>49</v>
      </c>
    </row>
    <row r="72" spans="1:45" x14ac:dyDescent="0.35">
      <c r="A72">
        <v>69</v>
      </c>
      <c r="B72">
        <v>0</v>
      </c>
      <c r="C72">
        <v>69</v>
      </c>
      <c r="D72" t="s">
        <v>256</v>
      </c>
      <c r="E72" t="s">
        <v>257</v>
      </c>
      <c r="F72" t="s">
        <v>52</v>
      </c>
      <c r="G72" t="s">
        <v>53</v>
      </c>
      <c r="H72" t="s">
        <v>53</v>
      </c>
      <c r="I72" t="s">
        <v>258</v>
      </c>
      <c r="J72" t="s">
        <v>55</v>
      </c>
      <c r="K72">
        <v>69</v>
      </c>
      <c r="L72">
        <v>0</v>
      </c>
      <c r="M72">
        <v>69</v>
      </c>
      <c r="N72">
        <v>0</v>
      </c>
      <c r="O72">
        <v>117.249276999995</v>
      </c>
      <c r="U72">
        <v>5</v>
      </c>
      <c r="V72">
        <v>117.23746919998599</v>
      </c>
      <c r="W72">
        <v>117.249276999995</v>
      </c>
      <c r="X72">
        <v>117.249276999995</v>
      </c>
      <c r="Y72">
        <v>2.4049400002695599E-2</v>
      </c>
      <c r="Z72">
        <v>118.381784700002</v>
      </c>
      <c r="AA72" t="s">
        <v>256</v>
      </c>
      <c r="AB72" t="s">
        <v>257</v>
      </c>
      <c r="AC72" t="s">
        <v>52</v>
      </c>
      <c r="AD72" t="s">
        <v>53</v>
      </c>
      <c r="AE72" t="s">
        <v>53</v>
      </c>
      <c r="AF72" t="s">
        <v>258</v>
      </c>
      <c r="AG72" t="s">
        <v>55</v>
      </c>
      <c r="AL72" t="s">
        <v>45</v>
      </c>
      <c r="AM72">
        <v>1</v>
      </c>
      <c r="AN72" t="s">
        <v>46</v>
      </c>
      <c r="AO72" t="s">
        <v>47</v>
      </c>
      <c r="AQ72" t="s">
        <v>48</v>
      </c>
      <c r="AR72">
        <v>60.014499505194401</v>
      </c>
      <c r="AS72" t="s">
        <v>49</v>
      </c>
    </row>
    <row r="73" spans="1:45" x14ac:dyDescent="0.35">
      <c r="A73">
        <v>70</v>
      </c>
      <c r="B73">
        <v>0</v>
      </c>
      <c r="C73">
        <v>70</v>
      </c>
      <c r="D73" t="s">
        <v>259</v>
      </c>
      <c r="E73" t="s">
        <v>260</v>
      </c>
      <c r="F73" t="s">
        <v>52</v>
      </c>
      <c r="G73" t="s">
        <v>53</v>
      </c>
      <c r="H73" t="s">
        <v>53</v>
      </c>
      <c r="I73" t="s">
        <v>261</v>
      </c>
      <c r="J73" t="s">
        <v>55</v>
      </c>
      <c r="K73">
        <v>70</v>
      </c>
      <c r="L73">
        <v>0</v>
      </c>
      <c r="M73">
        <v>70</v>
      </c>
      <c r="N73">
        <v>0</v>
      </c>
      <c r="O73">
        <v>118.416540000005</v>
      </c>
      <c r="U73">
        <v>5</v>
      </c>
      <c r="V73">
        <v>118.403958799986</v>
      </c>
      <c r="W73">
        <v>118.416540000005</v>
      </c>
      <c r="X73">
        <v>118.416540000005</v>
      </c>
      <c r="Y73">
        <v>2.19841999933123E-2</v>
      </c>
      <c r="Z73">
        <v>119.714462700008</v>
      </c>
      <c r="AA73" t="s">
        <v>259</v>
      </c>
      <c r="AB73" t="s">
        <v>260</v>
      </c>
      <c r="AC73" t="s">
        <v>52</v>
      </c>
      <c r="AD73" t="s">
        <v>53</v>
      </c>
      <c r="AE73" t="s">
        <v>53</v>
      </c>
      <c r="AF73" t="s">
        <v>261</v>
      </c>
      <c r="AG73" t="s">
        <v>55</v>
      </c>
      <c r="AL73" t="s">
        <v>45</v>
      </c>
      <c r="AM73">
        <v>1</v>
      </c>
      <c r="AN73" t="s">
        <v>46</v>
      </c>
      <c r="AO73" t="s">
        <v>47</v>
      </c>
      <c r="AQ73" t="s">
        <v>48</v>
      </c>
      <c r="AR73">
        <v>60.014499505194401</v>
      </c>
      <c r="AS73" t="s">
        <v>49</v>
      </c>
    </row>
    <row r="74" spans="1:45" x14ac:dyDescent="0.35">
      <c r="A74">
        <v>71</v>
      </c>
      <c r="B74">
        <v>0</v>
      </c>
      <c r="C74">
        <v>71</v>
      </c>
      <c r="D74" t="s">
        <v>262</v>
      </c>
      <c r="E74" t="s">
        <v>155</v>
      </c>
      <c r="F74" t="s">
        <v>52</v>
      </c>
      <c r="G74" t="s">
        <v>53</v>
      </c>
      <c r="H74" t="s">
        <v>53</v>
      </c>
      <c r="I74" t="s">
        <v>263</v>
      </c>
      <c r="J74" t="s">
        <v>55</v>
      </c>
      <c r="K74">
        <v>71</v>
      </c>
      <c r="L74">
        <v>0</v>
      </c>
      <c r="M74">
        <v>71</v>
      </c>
      <c r="N74">
        <v>0</v>
      </c>
      <c r="O74">
        <v>119.75441590000899</v>
      </c>
      <c r="U74">
        <v>5</v>
      </c>
      <c r="V74">
        <v>119.741499800002</v>
      </c>
      <c r="W74">
        <v>119.75441590000899</v>
      </c>
      <c r="X74">
        <v>119.75441590000899</v>
      </c>
      <c r="Y74">
        <v>2.6770900003612E-2</v>
      </c>
      <c r="Z74">
        <v>121.065390800009</v>
      </c>
      <c r="AA74" t="s">
        <v>262</v>
      </c>
      <c r="AB74" t="s">
        <v>155</v>
      </c>
      <c r="AC74" t="s">
        <v>52</v>
      </c>
      <c r="AD74" t="s">
        <v>53</v>
      </c>
      <c r="AE74" t="s">
        <v>53</v>
      </c>
      <c r="AF74" t="s">
        <v>263</v>
      </c>
      <c r="AG74" t="s">
        <v>55</v>
      </c>
      <c r="AL74" t="s">
        <v>45</v>
      </c>
      <c r="AM74">
        <v>1</v>
      </c>
      <c r="AN74" t="s">
        <v>46</v>
      </c>
      <c r="AO74" t="s">
        <v>47</v>
      </c>
      <c r="AQ74" t="s">
        <v>48</v>
      </c>
      <c r="AR74">
        <v>60.014499505194401</v>
      </c>
      <c r="AS74" t="s">
        <v>49</v>
      </c>
    </row>
    <row r="75" spans="1:45" x14ac:dyDescent="0.35">
      <c r="A75">
        <v>72</v>
      </c>
      <c r="B75">
        <v>0</v>
      </c>
      <c r="C75">
        <v>72</v>
      </c>
      <c r="D75" t="s">
        <v>264</v>
      </c>
      <c r="E75" t="s">
        <v>113</v>
      </c>
      <c r="F75" t="s">
        <v>52</v>
      </c>
      <c r="G75" t="s">
        <v>53</v>
      </c>
      <c r="H75" t="s">
        <v>53</v>
      </c>
      <c r="I75" t="s">
        <v>265</v>
      </c>
      <c r="J75" t="s">
        <v>55</v>
      </c>
      <c r="K75">
        <v>72</v>
      </c>
      <c r="L75">
        <v>0</v>
      </c>
      <c r="M75">
        <v>72</v>
      </c>
      <c r="N75">
        <v>0</v>
      </c>
      <c r="O75">
        <v>121.130911999993</v>
      </c>
      <c r="U75">
        <v>10</v>
      </c>
      <c r="V75">
        <v>121.111498099984</v>
      </c>
      <c r="W75">
        <v>121.130911999993</v>
      </c>
      <c r="X75">
        <v>121.130911999993</v>
      </c>
      <c r="Y75">
        <v>4.5893800008343498E-2</v>
      </c>
      <c r="Z75">
        <v>122.414772999996</v>
      </c>
      <c r="AA75" t="s">
        <v>264</v>
      </c>
      <c r="AB75" t="s">
        <v>113</v>
      </c>
      <c r="AC75" t="s">
        <v>52</v>
      </c>
      <c r="AD75" t="s">
        <v>53</v>
      </c>
      <c r="AE75" t="s">
        <v>53</v>
      </c>
      <c r="AF75" t="s">
        <v>265</v>
      </c>
      <c r="AG75" t="s">
        <v>55</v>
      </c>
      <c r="AL75" t="s">
        <v>45</v>
      </c>
      <c r="AM75">
        <v>1</v>
      </c>
      <c r="AN75" t="s">
        <v>46</v>
      </c>
      <c r="AO75" t="s">
        <v>47</v>
      </c>
      <c r="AQ75" t="s">
        <v>48</v>
      </c>
      <c r="AR75">
        <v>60.014499505194401</v>
      </c>
      <c r="AS75" t="s">
        <v>49</v>
      </c>
    </row>
    <row r="76" spans="1:45" x14ac:dyDescent="0.35">
      <c r="A76">
        <v>73</v>
      </c>
      <c r="B76">
        <v>0</v>
      </c>
      <c r="C76">
        <v>73</v>
      </c>
      <c r="D76" t="s">
        <v>266</v>
      </c>
      <c r="E76" t="s">
        <v>267</v>
      </c>
      <c r="F76" t="s">
        <v>52</v>
      </c>
      <c r="G76" t="s">
        <v>53</v>
      </c>
      <c r="H76" t="s">
        <v>53</v>
      </c>
      <c r="I76" t="s">
        <v>268</v>
      </c>
      <c r="J76" t="s">
        <v>55</v>
      </c>
      <c r="K76">
        <v>73</v>
      </c>
      <c r="L76">
        <v>0</v>
      </c>
      <c r="M76">
        <v>73</v>
      </c>
      <c r="N76">
        <v>0</v>
      </c>
      <c r="O76">
        <v>122.455694200005</v>
      </c>
      <c r="U76">
        <v>5</v>
      </c>
      <c r="V76">
        <v>122.444546599988</v>
      </c>
      <c r="W76">
        <v>122.455694200005</v>
      </c>
      <c r="X76">
        <v>122.455694200005</v>
      </c>
      <c r="Y76">
        <v>2.9319199995370498E-2</v>
      </c>
      <c r="Z76">
        <v>123.764485099993</v>
      </c>
      <c r="AA76" t="s">
        <v>266</v>
      </c>
      <c r="AB76" t="s">
        <v>267</v>
      </c>
      <c r="AC76" t="s">
        <v>52</v>
      </c>
      <c r="AD76" t="s">
        <v>53</v>
      </c>
      <c r="AE76" t="s">
        <v>53</v>
      </c>
      <c r="AF76" t="s">
        <v>268</v>
      </c>
      <c r="AG76" t="s">
        <v>55</v>
      </c>
      <c r="AL76" t="s">
        <v>45</v>
      </c>
      <c r="AM76">
        <v>1</v>
      </c>
      <c r="AN76" t="s">
        <v>46</v>
      </c>
      <c r="AO76" t="s">
        <v>47</v>
      </c>
      <c r="AQ76" t="s">
        <v>48</v>
      </c>
      <c r="AR76">
        <v>60.014499505194401</v>
      </c>
      <c r="AS76" t="s">
        <v>49</v>
      </c>
    </row>
    <row r="77" spans="1:45" x14ac:dyDescent="0.35">
      <c r="A77">
        <v>74</v>
      </c>
      <c r="B77">
        <v>0</v>
      </c>
      <c r="C77">
        <v>74</v>
      </c>
      <c r="D77" t="s">
        <v>269</v>
      </c>
      <c r="E77" t="s">
        <v>270</v>
      </c>
      <c r="F77" t="s">
        <v>52</v>
      </c>
      <c r="G77" t="s">
        <v>53</v>
      </c>
      <c r="H77" t="s">
        <v>53</v>
      </c>
      <c r="I77" t="s">
        <v>271</v>
      </c>
      <c r="J77" t="s">
        <v>55</v>
      </c>
      <c r="K77">
        <v>74</v>
      </c>
      <c r="L77">
        <v>0</v>
      </c>
      <c r="M77">
        <v>74</v>
      </c>
      <c r="N77">
        <v>0</v>
      </c>
      <c r="O77">
        <v>123.798795799986</v>
      </c>
      <c r="U77">
        <v>5</v>
      </c>
      <c r="V77">
        <v>123.78695760000799</v>
      </c>
      <c r="W77">
        <v>123.798795799986</v>
      </c>
      <c r="X77">
        <v>123.798795799986</v>
      </c>
      <c r="Y77">
        <v>2.2267699998337699E-2</v>
      </c>
      <c r="Z77">
        <v>125.415300399996</v>
      </c>
      <c r="AA77" t="s">
        <v>269</v>
      </c>
      <c r="AB77" t="s">
        <v>270</v>
      </c>
      <c r="AC77" t="s">
        <v>52</v>
      </c>
      <c r="AD77" t="s">
        <v>53</v>
      </c>
      <c r="AE77" t="s">
        <v>53</v>
      </c>
      <c r="AF77" t="s">
        <v>271</v>
      </c>
      <c r="AG77" t="s">
        <v>55</v>
      </c>
      <c r="AL77" t="s">
        <v>45</v>
      </c>
      <c r="AM77">
        <v>1</v>
      </c>
      <c r="AN77" t="s">
        <v>46</v>
      </c>
      <c r="AO77" t="s">
        <v>47</v>
      </c>
      <c r="AQ77" t="s">
        <v>48</v>
      </c>
      <c r="AR77">
        <v>60.014499505194401</v>
      </c>
      <c r="AS77" t="s">
        <v>49</v>
      </c>
    </row>
    <row r="78" spans="1:45" x14ac:dyDescent="0.35">
      <c r="A78">
        <v>75</v>
      </c>
      <c r="B78">
        <v>0</v>
      </c>
      <c r="C78">
        <v>75</v>
      </c>
      <c r="D78" t="s">
        <v>272</v>
      </c>
      <c r="E78" t="s">
        <v>273</v>
      </c>
      <c r="F78" t="s">
        <v>58</v>
      </c>
      <c r="G78" t="s">
        <v>59</v>
      </c>
      <c r="H78" t="s">
        <v>59</v>
      </c>
      <c r="I78" t="s">
        <v>274</v>
      </c>
      <c r="J78" t="s">
        <v>61</v>
      </c>
      <c r="K78">
        <v>75</v>
      </c>
      <c r="L78">
        <v>0</v>
      </c>
      <c r="M78">
        <v>75</v>
      </c>
      <c r="N78">
        <v>0</v>
      </c>
      <c r="O78">
        <v>125.45155910000901</v>
      </c>
      <c r="U78">
        <v>5</v>
      </c>
      <c r="V78">
        <v>125.43970839999299</v>
      </c>
      <c r="W78">
        <v>125.45155910000901</v>
      </c>
      <c r="X78">
        <v>125.45155910000901</v>
      </c>
      <c r="Y78">
        <v>2.4215400015236799E-2</v>
      </c>
      <c r="Z78">
        <v>127.29520230001</v>
      </c>
      <c r="AA78" t="s">
        <v>272</v>
      </c>
      <c r="AB78" t="s">
        <v>273</v>
      </c>
      <c r="AC78" t="s">
        <v>58</v>
      </c>
      <c r="AD78" t="s">
        <v>59</v>
      </c>
      <c r="AE78" t="s">
        <v>59</v>
      </c>
      <c r="AF78" t="s">
        <v>274</v>
      </c>
      <c r="AG78" t="s">
        <v>61</v>
      </c>
      <c r="AL78" t="s">
        <v>45</v>
      </c>
      <c r="AM78">
        <v>1</v>
      </c>
      <c r="AN78" t="s">
        <v>46</v>
      </c>
      <c r="AO78" t="s">
        <v>47</v>
      </c>
      <c r="AQ78" t="s">
        <v>48</v>
      </c>
      <c r="AR78">
        <v>60.014499505194401</v>
      </c>
      <c r="AS78" t="s">
        <v>49</v>
      </c>
    </row>
    <row r="79" spans="1:45" x14ac:dyDescent="0.35">
      <c r="A79">
        <v>76</v>
      </c>
      <c r="B79">
        <v>0</v>
      </c>
      <c r="C79">
        <v>76</v>
      </c>
      <c r="D79" t="s">
        <v>275</v>
      </c>
      <c r="E79" t="s">
        <v>276</v>
      </c>
      <c r="F79" t="s">
        <v>52</v>
      </c>
      <c r="G79" t="s">
        <v>53</v>
      </c>
      <c r="H79" t="s">
        <v>53</v>
      </c>
      <c r="I79" t="s">
        <v>277</v>
      </c>
      <c r="J79" t="s">
        <v>55</v>
      </c>
      <c r="K79">
        <v>76</v>
      </c>
      <c r="L79">
        <v>0</v>
      </c>
      <c r="M79">
        <v>76</v>
      </c>
      <c r="N79">
        <v>0</v>
      </c>
      <c r="O79">
        <v>127.35662169998901</v>
      </c>
      <c r="U79">
        <v>10</v>
      </c>
      <c r="V79">
        <v>127.338275699992</v>
      </c>
      <c r="W79">
        <v>127.35662169998901</v>
      </c>
      <c r="X79">
        <v>127.35662169998901</v>
      </c>
      <c r="Y79">
        <v>4.2859000008320401E-2</v>
      </c>
      <c r="Z79">
        <v>128.613857599993</v>
      </c>
      <c r="AA79" t="s">
        <v>275</v>
      </c>
      <c r="AB79" t="s">
        <v>276</v>
      </c>
      <c r="AC79" t="s">
        <v>52</v>
      </c>
      <c r="AD79" t="s">
        <v>53</v>
      </c>
      <c r="AE79" t="s">
        <v>53</v>
      </c>
      <c r="AF79" t="s">
        <v>277</v>
      </c>
      <c r="AG79" t="s">
        <v>55</v>
      </c>
      <c r="AL79" t="s">
        <v>45</v>
      </c>
      <c r="AM79">
        <v>1</v>
      </c>
      <c r="AN79" t="s">
        <v>46</v>
      </c>
      <c r="AO79" t="s">
        <v>47</v>
      </c>
      <c r="AQ79" t="s">
        <v>48</v>
      </c>
      <c r="AR79">
        <v>60.014499505194401</v>
      </c>
      <c r="AS79" t="s">
        <v>49</v>
      </c>
    </row>
    <row r="80" spans="1:45" x14ac:dyDescent="0.35">
      <c r="A80">
        <v>77</v>
      </c>
      <c r="B80">
        <v>0</v>
      </c>
      <c r="C80">
        <v>77</v>
      </c>
      <c r="D80" t="s">
        <v>278</v>
      </c>
      <c r="E80" t="s">
        <v>279</v>
      </c>
      <c r="F80" t="s">
        <v>58</v>
      </c>
      <c r="G80" t="s">
        <v>59</v>
      </c>
      <c r="H80" t="s">
        <v>59</v>
      </c>
      <c r="I80" t="s">
        <v>280</v>
      </c>
      <c r="J80" t="s">
        <v>61</v>
      </c>
      <c r="K80">
        <v>77</v>
      </c>
      <c r="L80">
        <v>0</v>
      </c>
      <c r="M80">
        <v>77</v>
      </c>
      <c r="N80">
        <v>0</v>
      </c>
      <c r="O80">
        <v>128.69288620000501</v>
      </c>
      <c r="U80">
        <v>10</v>
      </c>
      <c r="V80">
        <v>128.667435799987</v>
      </c>
      <c r="W80">
        <v>128.69288620000501</v>
      </c>
      <c r="X80">
        <v>128.69288620000501</v>
      </c>
      <c r="Y80">
        <v>5.3277500002877697E-2</v>
      </c>
      <c r="Z80">
        <v>130.52876069999101</v>
      </c>
      <c r="AA80" t="s">
        <v>278</v>
      </c>
      <c r="AB80" t="s">
        <v>279</v>
      </c>
      <c r="AC80" t="s">
        <v>58</v>
      </c>
      <c r="AD80" t="s">
        <v>59</v>
      </c>
      <c r="AE80" t="s">
        <v>59</v>
      </c>
      <c r="AF80" t="s">
        <v>280</v>
      </c>
      <c r="AG80" t="s">
        <v>61</v>
      </c>
      <c r="AL80" t="s">
        <v>45</v>
      </c>
      <c r="AM80">
        <v>1</v>
      </c>
      <c r="AN80" t="s">
        <v>46</v>
      </c>
      <c r="AO80" t="s">
        <v>47</v>
      </c>
      <c r="AQ80" t="s">
        <v>48</v>
      </c>
      <c r="AR80">
        <v>60.014499505194401</v>
      </c>
      <c r="AS80" t="s">
        <v>49</v>
      </c>
    </row>
    <row r="81" spans="1:45" x14ac:dyDescent="0.35">
      <c r="A81">
        <v>78</v>
      </c>
      <c r="B81">
        <v>0</v>
      </c>
      <c r="C81">
        <v>78</v>
      </c>
      <c r="D81" t="s">
        <v>281</v>
      </c>
      <c r="E81" t="s">
        <v>282</v>
      </c>
      <c r="F81" t="s">
        <v>52</v>
      </c>
      <c r="G81" t="s">
        <v>53</v>
      </c>
      <c r="H81" t="s">
        <v>53</v>
      </c>
      <c r="I81" t="s">
        <v>283</v>
      </c>
      <c r="J81" t="s">
        <v>55</v>
      </c>
      <c r="K81">
        <v>78</v>
      </c>
      <c r="L81">
        <v>0</v>
      </c>
      <c r="M81">
        <v>78</v>
      </c>
      <c r="N81">
        <v>0</v>
      </c>
      <c r="O81">
        <v>130.59922569998801</v>
      </c>
      <c r="U81">
        <v>10</v>
      </c>
      <c r="V81">
        <v>130.579785699985</v>
      </c>
      <c r="W81">
        <v>130.59922569998801</v>
      </c>
      <c r="X81">
        <v>130.59922569998801</v>
      </c>
      <c r="Y81">
        <v>5.0624700001208098E-2</v>
      </c>
      <c r="Z81">
        <v>131.865318800002</v>
      </c>
      <c r="AA81" t="s">
        <v>281</v>
      </c>
      <c r="AB81" t="s">
        <v>282</v>
      </c>
      <c r="AC81" t="s">
        <v>52</v>
      </c>
      <c r="AD81" t="s">
        <v>53</v>
      </c>
      <c r="AE81" t="s">
        <v>53</v>
      </c>
      <c r="AF81" t="s">
        <v>283</v>
      </c>
      <c r="AG81" t="s">
        <v>55</v>
      </c>
      <c r="AL81" t="s">
        <v>45</v>
      </c>
      <c r="AM81">
        <v>1</v>
      </c>
      <c r="AN81" t="s">
        <v>46</v>
      </c>
      <c r="AO81" t="s">
        <v>47</v>
      </c>
      <c r="AQ81" t="s">
        <v>48</v>
      </c>
      <c r="AR81">
        <v>60.014499505194401</v>
      </c>
      <c r="AS81" t="s">
        <v>49</v>
      </c>
    </row>
    <row r="82" spans="1:45" x14ac:dyDescent="0.35">
      <c r="A82">
        <v>79</v>
      </c>
      <c r="B82">
        <v>0</v>
      </c>
      <c r="C82">
        <v>79</v>
      </c>
      <c r="D82" t="s">
        <v>284</v>
      </c>
      <c r="E82" t="s">
        <v>285</v>
      </c>
      <c r="F82" t="s">
        <v>52</v>
      </c>
      <c r="G82" t="s">
        <v>53</v>
      </c>
      <c r="H82" t="s">
        <v>53</v>
      </c>
      <c r="I82" t="s">
        <v>286</v>
      </c>
      <c r="J82" t="s">
        <v>55</v>
      </c>
      <c r="K82">
        <v>79</v>
      </c>
      <c r="L82">
        <v>0</v>
      </c>
      <c r="M82">
        <v>79</v>
      </c>
      <c r="N82">
        <v>0</v>
      </c>
      <c r="O82">
        <v>131.90563550000601</v>
      </c>
      <c r="U82">
        <v>5</v>
      </c>
      <c r="V82">
        <v>131.89158359999399</v>
      </c>
      <c r="W82">
        <v>131.90563550000601</v>
      </c>
      <c r="X82">
        <v>131.90563550000601</v>
      </c>
      <c r="Y82">
        <v>2.58362999884411E-2</v>
      </c>
      <c r="Z82">
        <v>133.08127329999101</v>
      </c>
      <c r="AA82" t="s">
        <v>284</v>
      </c>
      <c r="AB82" t="s">
        <v>285</v>
      </c>
      <c r="AC82" t="s">
        <v>52</v>
      </c>
      <c r="AD82" t="s">
        <v>53</v>
      </c>
      <c r="AE82" t="s">
        <v>53</v>
      </c>
      <c r="AF82" t="s">
        <v>286</v>
      </c>
      <c r="AG82" t="s">
        <v>55</v>
      </c>
      <c r="AL82" t="s">
        <v>45</v>
      </c>
      <c r="AM82">
        <v>1</v>
      </c>
      <c r="AN82" t="s">
        <v>46</v>
      </c>
      <c r="AO82" t="s">
        <v>47</v>
      </c>
      <c r="AQ82" t="s">
        <v>48</v>
      </c>
      <c r="AR82">
        <v>60.014499505194401</v>
      </c>
      <c r="AS82" t="s">
        <v>49</v>
      </c>
    </row>
    <row r="83" spans="1:45" x14ac:dyDescent="0.35">
      <c r="A83">
        <v>80</v>
      </c>
      <c r="B83">
        <v>0</v>
      </c>
      <c r="C83">
        <v>80</v>
      </c>
      <c r="D83" t="s">
        <v>287</v>
      </c>
      <c r="E83" t="s">
        <v>288</v>
      </c>
      <c r="F83" t="s">
        <v>52</v>
      </c>
      <c r="G83" t="s">
        <v>53</v>
      </c>
      <c r="H83" t="s">
        <v>53</v>
      </c>
      <c r="I83" t="s">
        <v>289</v>
      </c>
      <c r="J83" t="s">
        <v>55</v>
      </c>
      <c r="K83">
        <v>80</v>
      </c>
      <c r="L83">
        <v>0</v>
      </c>
      <c r="M83">
        <v>80</v>
      </c>
      <c r="N83">
        <v>0</v>
      </c>
      <c r="O83">
        <v>133.120916399988</v>
      </c>
      <c r="U83">
        <v>5</v>
      </c>
      <c r="V83">
        <v>133.107761599996</v>
      </c>
      <c r="W83">
        <v>133.120916399988</v>
      </c>
      <c r="X83">
        <v>133.120916399988</v>
      </c>
      <c r="Y83">
        <v>2.6218100014375498E-2</v>
      </c>
      <c r="Z83">
        <v>134.479150900006</v>
      </c>
      <c r="AA83" t="s">
        <v>287</v>
      </c>
      <c r="AB83" t="s">
        <v>288</v>
      </c>
      <c r="AC83" t="s">
        <v>52</v>
      </c>
      <c r="AD83" t="s">
        <v>53</v>
      </c>
      <c r="AE83" t="s">
        <v>53</v>
      </c>
      <c r="AF83" t="s">
        <v>289</v>
      </c>
      <c r="AG83" t="s">
        <v>55</v>
      </c>
      <c r="AL83" t="s">
        <v>45</v>
      </c>
      <c r="AM83">
        <v>1</v>
      </c>
      <c r="AN83" t="s">
        <v>46</v>
      </c>
      <c r="AO83" t="s">
        <v>47</v>
      </c>
      <c r="AQ83" t="s">
        <v>48</v>
      </c>
      <c r="AR83">
        <v>60.014499505194401</v>
      </c>
      <c r="AS83" t="s">
        <v>49</v>
      </c>
    </row>
    <row r="84" spans="1:45" x14ac:dyDescent="0.35">
      <c r="A84">
        <v>81</v>
      </c>
      <c r="B84">
        <v>0</v>
      </c>
      <c r="C84">
        <v>81</v>
      </c>
      <c r="D84" t="s">
        <v>290</v>
      </c>
      <c r="E84" t="s">
        <v>291</v>
      </c>
      <c r="F84" t="s">
        <v>52</v>
      </c>
      <c r="G84" t="s">
        <v>53</v>
      </c>
      <c r="H84" t="s">
        <v>53</v>
      </c>
      <c r="I84" t="s">
        <v>292</v>
      </c>
      <c r="J84" t="s">
        <v>55</v>
      </c>
      <c r="K84">
        <v>81</v>
      </c>
      <c r="L84">
        <v>0</v>
      </c>
      <c r="M84">
        <v>81</v>
      </c>
      <c r="N84">
        <v>0</v>
      </c>
      <c r="O84">
        <v>134.54741890000801</v>
      </c>
      <c r="U84">
        <v>10</v>
      </c>
      <c r="V84">
        <v>134.528239700011</v>
      </c>
      <c r="W84">
        <v>134.54741890000801</v>
      </c>
      <c r="X84">
        <v>134.54741890000801</v>
      </c>
      <c r="Y84">
        <v>4.87785000004805E-2</v>
      </c>
      <c r="Z84">
        <v>136.01223270001299</v>
      </c>
      <c r="AA84" t="s">
        <v>290</v>
      </c>
      <c r="AB84" t="s">
        <v>291</v>
      </c>
      <c r="AC84" t="s">
        <v>52</v>
      </c>
      <c r="AD84" t="s">
        <v>53</v>
      </c>
      <c r="AE84" t="s">
        <v>53</v>
      </c>
      <c r="AF84" t="s">
        <v>292</v>
      </c>
      <c r="AG84" t="s">
        <v>55</v>
      </c>
      <c r="AL84" t="s">
        <v>45</v>
      </c>
      <c r="AM84">
        <v>1</v>
      </c>
      <c r="AN84" t="s">
        <v>46</v>
      </c>
      <c r="AO84" t="s">
        <v>47</v>
      </c>
      <c r="AQ84" t="s">
        <v>48</v>
      </c>
      <c r="AR84">
        <v>60.014499505194401</v>
      </c>
      <c r="AS84" t="s">
        <v>49</v>
      </c>
    </row>
    <row r="85" spans="1:45" x14ac:dyDescent="0.35">
      <c r="A85">
        <v>82</v>
      </c>
      <c r="B85">
        <v>0</v>
      </c>
      <c r="C85">
        <v>82</v>
      </c>
      <c r="D85" t="s">
        <v>293</v>
      </c>
      <c r="E85" t="s">
        <v>294</v>
      </c>
      <c r="F85" t="s">
        <v>52</v>
      </c>
      <c r="G85" t="s">
        <v>53</v>
      </c>
      <c r="H85" t="s">
        <v>53</v>
      </c>
      <c r="I85" t="s">
        <v>295</v>
      </c>
      <c r="J85" t="s">
        <v>55</v>
      </c>
      <c r="K85">
        <v>82</v>
      </c>
      <c r="L85">
        <v>0</v>
      </c>
      <c r="M85">
        <v>82</v>
      </c>
      <c r="N85">
        <v>0</v>
      </c>
      <c r="O85">
        <v>136.05125779999</v>
      </c>
      <c r="U85">
        <v>5</v>
      </c>
      <c r="V85">
        <v>136.03762640000701</v>
      </c>
      <c r="W85">
        <v>136.05125779999</v>
      </c>
      <c r="X85">
        <v>136.05125779999</v>
      </c>
      <c r="Y85">
        <v>2.49966000264976E-2</v>
      </c>
      <c r="Z85">
        <v>137.61368370000801</v>
      </c>
      <c r="AA85" t="s">
        <v>293</v>
      </c>
      <c r="AB85" t="s">
        <v>294</v>
      </c>
      <c r="AC85" t="s">
        <v>52</v>
      </c>
      <c r="AD85" t="s">
        <v>53</v>
      </c>
      <c r="AE85" t="s">
        <v>53</v>
      </c>
      <c r="AF85" t="s">
        <v>295</v>
      </c>
      <c r="AG85" t="s">
        <v>55</v>
      </c>
      <c r="AL85" t="s">
        <v>45</v>
      </c>
      <c r="AM85">
        <v>1</v>
      </c>
      <c r="AN85" t="s">
        <v>46</v>
      </c>
      <c r="AO85" t="s">
        <v>47</v>
      </c>
      <c r="AQ85" t="s">
        <v>48</v>
      </c>
      <c r="AR85">
        <v>60.014499505194401</v>
      </c>
      <c r="AS85" t="s">
        <v>49</v>
      </c>
    </row>
    <row r="86" spans="1:45" x14ac:dyDescent="0.35">
      <c r="A86">
        <v>83</v>
      </c>
      <c r="B86">
        <v>0</v>
      </c>
      <c r="C86">
        <v>83</v>
      </c>
      <c r="D86" t="s">
        <v>296</v>
      </c>
      <c r="E86" t="s">
        <v>297</v>
      </c>
      <c r="F86" t="s">
        <v>52</v>
      </c>
      <c r="G86" t="s">
        <v>53</v>
      </c>
      <c r="H86" t="s">
        <v>53</v>
      </c>
      <c r="I86" t="s">
        <v>298</v>
      </c>
      <c r="J86" t="s">
        <v>55</v>
      </c>
      <c r="K86">
        <v>83</v>
      </c>
      <c r="L86">
        <v>0</v>
      </c>
      <c r="M86">
        <v>83</v>
      </c>
      <c r="N86">
        <v>0</v>
      </c>
      <c r="O86">
        <v>137.65539259998999</v>
      </c>
      <c r="U86">
        <v>5</v>
      </c>
      <c r="V86">
        <v>137.641900599992</v>
      </c>
      <c r="W86">
        <v>137.65539259998999</v>
      </c>
      <c r="X86">
        <v>137.65539259998999</v>
      </c>
      <c r="Y86">
        <v>2.7877500018803399E-2</v>
      </c>
      <c r="Z86">
        <v>139.180882999993</v>
      </c>
      <c r="AA86" t="s">
        <v>296</v>
      </c>
      <c r="AB86" t="s">
        <v>297</v>
      </c>
      <c r="AC86" t="s">
        <v>52</v>
      </c>
      <c r="AD86" t="s">
        <v>53</v>
      </c>
      <c r="AE86" t="s">
        <v>53</v>
      </c>
      <c r="AF86" t="s">
        <v>298</v>
      </c>
      <c r="AG86" t="s">
        <v>55</v>
      </c>
      <c r="AL86" t="s">
        <v>45</v>
      </c>
      <c r="AM86">
        <v>1</v>
      </c>
      <c r="AN86" t="s">
        <v>46</v>
      </c>
      <c r="AO86" t="s">
        <v>47</v>
      </c>
      <c r="AQ86" t="s">
        <v>48</v>
      </c>
      <c r="AR86">
        <v>60.014499505194401</v>
      </c>
      <c r="AS86" t="s">
        <v>49</v>
      </c>
    </row>
    <row r="87" spans="1:45" x14ac:dyDescent="0.35">
      <c r="A87">
        <v>84</v>
      </c>
      <c r="B87">
        <v>0</v>
      </c>
      <c r="C87">
        <v>84</v>
      </c>
      <c r="D87" t="s">
        <v>299</v>
      </c>
      <c r="E87" t="s">
        <v>300</v>
      </c>
      <c r="F87" t="s">
        <v>52</v>
      </c>
      <c r="G87" t="s">
        <v>53</v>
      </c>
      <c r="H87" t="s">
        <v>53</v>
      </c>
      <c r="I87" t="s">
        <v>301</v>
      </c>
      <c r="J87" t="s">
        <v>55</v>
      </c>
      <c r="K87">
        <v>84</v>
      </c>
      <c r="L87">
        <v>0</v>
      </c>
      <c r="M87">
        <v>84</v>
      </c>
      <c r="N87">
        <v>0</v>
      </c>
      <c r="O87">
        <v>139.21740540000599</v>
      </c>
      <c r="U87">
        <v>5</v>
      </c>
      <c r="V87">
        <v>139.20510459999699</v>
      </c>
      <c r="W87">
        <v>139.21740540000599</v>
      </c>
      <c r="X87">
        <v>139.21740540000599</v>
      </c>
      <c r="Y87">
        <v>2.3929300019517499E-2</v>
      </c>
      <c r="Z87">
        <v>140.33100929998901</v>
      </c>
      <c r="AA87" t="s">
        <v>299</v>
      </c>
      <c r="AB87" t="s">
        <v>300</v>
      </c>
      <c r="AC87" t="s">
        <v>52</v>
      </c>
      <c r="AD87" t="s">
        <v>53</v>
      </c>
      <c r="AE87" t="s">
        <v>53</v>
      </c>
      <c r="AF87" t="s">
        <v>301</v>
      </c>
      <c r="AG87" t="s">
        <v>55</v>
      </c>
      <c r="AL87" t="s">
        <v>45</v>
      </c>
      <c r="AM87">
        <v>1</v>
      </c>
      <c r="AN87" t="s">
        <v>46</v>
      </c>
      <c r="AO87" t="s">
        <v>47</v>
      </c>
      <c r="AQ87" t="s">
        <v>48</v>
      </c>
      <c r="AR87">
        <v>60.014499505194401</v>
      </c>
      <c r="AS87" t="s">
        <v>49</v>
      </c>
    </row>
    <row r="88" spans="1:45" x14ac:dyDescent="0.35">
      <c r="A88">
        <v>85</v>
      </c>
      <c r="B88">
        <v>0</v>
      </c>
      <c r="C88">
        <v>85</v>
      </c>
      <c r="D88" t="s">
        <v>302</v>
      </c>
      <c r="E88" t="s">
        <v>303</v>
      </c>
      <c r="F88" t="s">
        <v>52</v>
      </c>
      <c r="G88" t="s">
        <v>53</v>
      </c>
      <c r="H88" t="s">
        <v>53</v>
      </c>
      <c r="I88" t="s">
        <v>304</v>
      </c>
      <c r="J88" t="s">
        <v>55</v>
      </c>
      <c r="K88">
        <v>85</v>
      </c>
      <c r="L88">
        <v>0</v>
      </c>
      <c r="M88">
        <v>85</v>
      </c>
      <c r="N88">
        <v>0</v>
      </c>
      <c r="O88">
        <v>140.405391000007</v>
      </c>
      <c r="U88">
        <v>10</v>
      </c>
      <c r="V88">
        <v>140.38376799999901</v>
      </c>
      <c r="W88">
        <v>140.405391000007</v>
      </c>
      <c r="X88">
        <v>140.405391000007</v>
      </c>
      <c r="Y88">
        <v>5.2468999987468103E-2</v>
      </c>
      <c r="Z88">
        <v>142.26459669999801</v>
      </c>
      <c r="AA88" t="s">
        <v>302</v>
      </c>
      <c r="AB88" t="s">
        <v>303</v>
      </c>
      <c r="AC88" t="s">
        <v>52</v>
      </c>
      <c r="AD88" t="s">
        <v>53</v>
      </c>
      <c r="AE88" t="s">
        <v>53</v>
      </c>
      <c r="AF88" t="s">
        <v>304</v>
      </c>
      <c r="AG88" t="s">
        <v>55</v>
      </c>
      <c r="AL88" t="s">
        <v>45</v>
      </c>
      <c r="AM88">
        <v>1</v>
      </c>
      <c r="AN88" t="s">
        <v>46</v>
      </c>
      <c r="AO88" t="s">
        <v>47</v>
      </c>
      <c r="AQ88" t="s">
        <v>48</v>
      </c>
      <c r="AR88">
        <v>60.014499505194401</v>
      </c>
      <c r="AS88" t="s">
        <v>49</v>
      </c>
    </row>
    <row r="89" spans="1:45" x14ac:dyDescent="0.35">
      <c r="A89">
        <v>86</v>
      </c>
      <c r="B89">
        <v>0</v>
      </c>
      <c r="C89">
        <v>86</v>
      </c>
      <c r="D89" t="s">
        <v>305</v>
      </c>
      <c r="E89" t="s">
        <v>306</v>
      </c>
      <c r="F89" t="s">
        <v>52</v>
      </c>
      <c r="G89" t="s">
        <v>53</v>
      </c>
      <c r="H89" t="s">
        <v>53</v>
      </c>
      <c r="I89" t="s">
        <v>307</v>
      </c>
      <c r="J89" t="s">
        <v>55</v>
      </c>
      <c r="K89">
        <v>86</v>
      </c>
      <c r="L89">
        <v>0</v>
      </c>
      <c r="M89">
        <v>86</v>
      </c>
      <c r="N89">
        <v>0</v>
      </c>
      <c r="O89">
        <v>142.334638200001</v>
      </c>
      <c r="U89">
        <v>10</v>
      </c>
      <c r="V89">
        <v>142.315715500008</v>
      </c>
      <c r="W89">
        <v>142.334638200001</v>
      </c>
      <c r="X89">
        <v>142.334638200001</v>
      </c>
      <c r="Y89">
        <v>5.0752900016959701E-2</v>
      </c>
      <c r="Z89">
        <v>143.830384600005</v>
      </c>
      <c r="AA89" t="s">
        <v>305</v>
      </c>
      <c r="AB89" t="s">
        <v>306</v>
      </c>
      <c r="AC89" t="s">
        <v>52</v>
      </c>
      <c r="AD89" t="s">
        <v>53</v>
      </c>
      <c r="AE89" t="s">
        <v>53</v>
      </c>
      <c r="AF89" t="s">
        <v>307</v>
      </c>
      <c r="AG89" t="s">
        <v>55</v>
      </c>
      <c r="AL89" t="s">
        <v>45</v>
      </c>
      <c r="AM89">
        <v>1</v>
      </c>
      <c r="AN89" t="s">
        <v>46</v>
      </c>
      <c r="AO89" t="s">
        <v>47</v>
      </c>
      <c r="AQ89" t="s">
        <v>48</v>
      </c>
      <c r="AR89">
        <v>60.014499505194401</v>
      </c>
      <c r="AS89" t="s">
        <v>49</v>
      </c>
    </row>
    <row r="90" spans="1:45" x14ac:dyDescent="0.35">
      <c r="A90">
        <v>87</v>
      </c>
      <c r="B90">
        <v>0</v>
      </c>
      <c r="C90">
        <v>87</v>
      </c>
      <c r="D90" t="s">
        <v>308</v>
      </c>
      <c r="E90" t="s">
        <v>309</v>
      </c>
      <c r="F90" t="s">
        <v>52</v>
      </c>
      <c r="G90" t="s">
        <v>53</v>
      </c>
      <c r="H90" t="s">
        <v>53</v>
      </c>
      <c r="I90" t="s">
        <v>310</v>
      </c>
      <c r="J90" t="s">
        <v>55</v>
      </c>
      <c r="K90">
        <v>87</v>
      </c>
      <c r="L90">
        <v>0</v>
      </c>
      <c r="M90">
        <v>87</v>
      </c>
      <c r="N90">
        <v>0</v>
      </c>
      <c r="O90">
        <v>143.86932810000101</v>
      </c>
      <c r="U90">
        <v>5</v>
      </c>
      <c r="V90">
        <v>143.85640530000001</v>
      </c>
      <c r="W90">
        <v>143.86932810000101</v>
      </c>
      <c r="X90">
        <v>143.86932810000101</v>
      </c>
      <c r="Y90">
        <v>2.57758000225294E-2</v>
      </c>
      <c r="Z90">
        <v>145.24663219999599</v>
      </c>
      <c r="AA90" t="s">
        <v>308</v>
      </c>
      <c r="AB90" t="s">
        <v>309</v>
      </c>
      <c r="AC90" t="s">
        <v>52</v>
      </c>
      <c r="AD90" t="s">
        <v>53</v>
      </c>
      <c r="AE90" t="s">
        <v>53</v>
      </c>
      <c r="AF90" t="s">
        <v>310</v>
      </c>
      <c r="AG90" t="s">
        <v>55</v>
      </c>
      <c r="AL90" t="s">
        <v>45</v>
      </c>
      <c r="AM90">
        <v>1</v>
      </c>
      <c r="AN90" t="s">
        <v>46</v>
      </c>
      <c r="AO90" t="s">
        <v>47</v>
      </c>
      <c r="AQ90" t="s">
        <v>48</v>
      </c>
      <c r="AR90">
        <v>60.014499505194401</v>
      </c>
      <c r="AS90" t="s">
        <v>49</v>
      </c>
    </row>
    <row r="91" spans="1:45" x14ac:dyDescent="0.35">
      <c r="A91">
        <v>88</v>
      </c>
      <c r="B91">
        <v>0</v>
      </c>
      <c r="C91">
        <v>88</v>
      </c>
      <c r="D91" t="s">
        <v>311</v>
      </c>
      <c r="E91" t="s">
        <v>312</v>
      </c>
      <c r="F91" t="s">
        <v>52</v>
      </c>
      <c r="G91" t="s">
        <v>53</v>
      </c>
      <c r="H91" t="s">
        <v>53</v>
      </c>
      <c r="I91" t="s">
        <v>313</v>
      </c>
      <c r="J91" t="s">
        <v>55</v>
      </c>
      <c r="K91">
        <v>88</v>
      </c>
      <c r="L91">
        <v>0</v>
      </c>
      <c r="M91">
        <v>88</v>
      </c>
      <c r="N91">
        <v>0</v>
      </c>
      <c r="O91">
        <v>145.325884799996</v>
      </c>
      <c r="U91">
        <v>10</v>
      </c>
      <c r="V91">
        <v>145.301997800008</v>
      </c>
      <c r="W91">
        <v>145.325884799996</v>
      </c>
      <c r="X91">
        <v>145.325884799996</v>
      </c>
      <c r="Y91">
        <v>5.5116300005465697E-2</v>
      </c>
      <c r="Z91">
        <v>146.76382349999</v>
      </c>
      <c r="AA91" t="s">
        <v>311</v>
      </c>
      <c r="AB91" t="s">
        <v>312</v>
      </c>
      <c r="AC91" t="s">
        <v>52</v>
      </c>
      <c r="AD91" t="s">
        <v>53</v>
      </c>
      <c r="AE91" t="s">
        <v>53</v>
      </c>
      <c r="AF91" t="s">
        <v>313</v>
      </c>
      <c r="AG91" t="s">
        <v>55</v>
      </c>
      <c r="AL91" t="s">
        <v>45</v>
      </c>
      <c r="AM91">
        <v>1</v>
      </c>
      <c r="AN91" t="s">
        <v>46</v>
      </c>
      <c r="AO91" t="s">
        <v>47</v>
      </c>
      <c r="AQ91" t="s">
        <v>48</v>
      </c>
      <c r="AR91">
        <v>60.014499505194401</v>
      </c>
      <c r="AS91" t="s">
        <v>49</v>
      </c>
    </row>
    <row r="92" spans="1:45" x14ac:dyDescent="0.35">
      <c r="A92">
        <v>89</v>
      </c>
      <c r="B92">
        <v>0</v>
      </c>
      <c r="C92">
        <v>89</v>
      </c>
      <c r="D92" t="s">
        <v>314</v>
      </c>
      <c r="E92" t="s">
        <v>315</v>
      </c>
      <c r="F92" t="s">
        <v>52</v>
      </c>
      <c r="G92" t="s">
        <v>53</v>
      </c>
      <c r="H92" t="s">
        <v>53</v>
      </c>
      <c r="I92" t="s">
        <v>316</v>
      </c>
      <c r="J92" t="s">
        <v>55</v>
      </c>
      <c r="K92">
        <v>89</v>
      </c>
      <c r="L92">
        <v>0</v>
      </c>
      <c r="M92">
        <v>89</v>
      </c>
      <c r="N92">
        <v>0</v>
      </c>
      <c r="O92">
        <v>146.845343499997</v>
      </c>
      <c r="U92">
        <v>10</v>
      </c>
      <c r="V92">
        <v>146.81993940001101</v>
      </c>
      <c r="W92">
        <v>146.845343499997</v>
      </c>
      <c r="X92">
        <v>146.845343499997</v>
      </c>
      <c r="Y92">
        <v>5.58193999750074E-2</v>
      </c>
      <c r="Z92">
        <v>147.981871900003</v>
      </c>
      <c r="AA92" t="s">
        <v>314</v>
      </c>
      <c r="AB92" t="s">
        <v>315</v>
      </c>
      <c r="AC92" t="s">
        <v>52</v>
      </c>
      <c r="AD92" t="s">
        <v>53</v>
      </c>
      <c r="AE92" t="s">
        <v>53</v>
      </c>
      <c r="AF92" t="s">
        <v>316</v>
      </c>
      <c r="AG92" t="s">
        <v>55</v>
      </c>
      <c r="AL92" t="s">
        <v>45</v>
      </c>
      <c r="AM92">
        <v>1</v>
      </c>
      <c r="AN92" t="s">
        <v>46</v>
      </c>
      <c r="AO92" t="s">
        <v>47</v>
      </c>
      <c r="AQ92" t="s">
        <v>48</v>
      </c>
      <c r="AR92">
        <v>60.014499505194401</v>
      </c>
      <c r="AS92" t="s">
        <v>49</v>
      </c>
    </row>
    <row r="93" spans="1:45" x14ac:dyDescent="0.35">
      <c r="A93">
        <v>90</v>
      </c>
      <c r="B93">
        <v>0</v>
      </c>
      <c r="C93">
        <v>90</v>
      </c>
      <c r="D93" t="s">
        <v>317</v>
      </c>
      <c r="E93" t="s">
        <v>318</v>
      </c>
      <c r="F93" t="s">
        <v>52</v>
      </c>
      <c r="G93" t="s">
        <v>53</v>
      </c>
      <c r="H93" t="s">
        <v>53</v>
      </c>
      <c r="I93" t="s">
        <v>319</v>
      </c>
      <c r="J93" t="s">
        <v>55</v>
      </c>
      <c r="K93">
        <v>90</v>
      </c>
      <c r="L93">
        <v>0</v>
      </c>
      <c r="M93">
        <v>90</v>
      </c>
      <c r="N93">
        <v>0</v>
      </c>
      <c r="O93">
        <v>148.02258960000401</v>
      </c>
      <c r="U93">
        <v>5</v>
      </c>
      <c r="V93">
        <v>148.00993870000801</v>
      </c>
      <c r="W93">
        <v>148.02258960000401</v>
      </c>
      <c r="X93">
        <v>148.02258960000401</v>
      </c>
      <c r="Y93">
        <v>2.7678200014633999E-2</v>
      </c>
      <c r="Z93">
        <v>149.86405639999401</v>
      </c>
      <c r="AA93" t="s">
        <v>317</v>
      </c>
      <c r="AB93" t="s">
        <v>318</v>
      </c>
      <c r="AC93" t="s">
        <v>52</v>
      </c>
      <c r="AD93" t="s">
        <v>53</v>
      </c>
      <c r="AE93" t="s">
        <v>53</v>
      </c>
      <c r="AF93" t="s">
        <v>319</v>
      </c>
      <c r="AG93" t="s">
        <v>55</v>
      </c>
      <c r="AL93" t="s">
        <v>45</v>
      </c>
      <c r="AM93">
        <v>1</v>
      </c>
      <c r="AN93" t="s">
        <v>46</v>
      </c>
      <c r="AO93" t="s">
        <v>47</v>
      </c>
      <c r="AQ93" t="s">
        <v>48</v>
      </c>
      <c r="AR93">
        <v>60.014499505194401</v>
      </c>
      <c r="AS93" t="s">
        <v>49</v>
      </c>
    </row>
    <row r="94" spans="1:45" x14ac:dyDescent="0.35">
      <c r="A94">
        <v>91</v>
      </c>
      <c r="B94">
        <v>0</v>
      </c>
      <c r="C94">
        <v>91</v>
      </c>
      <c r="D94" t="s">
        <v>320</v>
      </c>
      <c r="E94" t="s">
        <v>321</v>
      </c>
      <c r="F94" t="s">
        <v>52</v>
      </c>
      <c r="G94" t="s">
        <v>53</v>
      </c>
      <c r="H94" t="s">
        <v>53</v>
      </c>
      <c r="I94" t="s">
        <v>322</v>
      </c>
      <c r="J94" t="s">
        <v>55</v>
      </c>
      <c r="K94">
        <v>91</v>
      </c>
      <c r="L94">
        <v>0</v>
      </c>
      <c r="M94">
        <v>91</v>
      </c>
      <c r="N94">
        <v>0</v>
      </c>
      <c r="O94">
        <v>149.93566849999399</v>
      </c>
      <c r="U94">
        <v>10</v>
      </c>
      <c r="V94">
        <v>149.915279500011</v>
      </c>
      <c r="W94">
        <v>149.93566849999399</v>
      </c>
      <c r="X94">
        <v>149.93566849999399</v>
      </c>
      <c r="Y94">
        <v>5.0915600004373097E-2</v>
      </c>
      <c r="Z94">
        <v>151.24640699999799</v>
      </c>
      <c r="AA94" t="s">
        <v>320</v>
      </c>
      <c r="AB94" t="s">
        <v>321</v>
      </c>
      <c r="AC94" t="s">
        <v>52</v>
      </c>
      <c r="AD94" t="s">
        <v>53</v>
      </c>
      <c r="AE94" t="s">
        <v>53</v>
      </c>
      <c r="AF94" t="s">
        <v>322</v>
      </c>
      <c r="AG94" t="s">
        <v>55</v>
      </c>
      <c r="AL94" t="s">
        <v>45</v>
      </c>
      <c r="AM94">
        <v>1</v>
      </c>
      <c r="AN94" t="s">
        <v>46</v>
      </c>
      <c r="AO94" t="s">
        <v>47</v>
      </c>
      <c r="AQ94" t="s">
        <v>48</v>
      </c>
      <c r="AR94">
        <v>60.014499505194401</v>
      </c>
      <c r="AS94" t="s">
        <v>49</v>
      </c>
    </row>
    <row r="95" spans="1:45" x14ac:dyDescent="0.35">
      <c r="A95">
        <v>92</v>
      </c>
      <c r="B95">
        <v>0</v>
      </c>
      <c r="C95">
        <v>92</v>
      </c>
      <c r="D95" t="s">
        <v>323</v>
      </c>
      <c r="E95" t="s">
        <v>324</v>
      </c>
      <c r="F95" t="s">
        <v>58</v>
      </c>
      <c r="G95" t="s">
        <v>59</v>
      </c>
      <c r="H95" t="s">
        <v>59</v>
      </c>
      <c r="I95" t="s">
        <v>325</v>
      </c>
      <c r="J95" t="s">
        <v>61</v>
      </c>
      <c r="K95">
        <v>92</v>
      </c>
      <c r="L95">
        <v>0</v>
      </c>
      <c r="M95">
        <v>92</v>
      </c>
      <c r="N95">
        <v>0</v>
      </c>
      <c r="O95">
        <v>151.28501990000899</v>
      </c>
      <c r="U95">
        <v>5</v>
      </c>
      <c r="V95">
        <v>151.27194060001</v>
      </c>
      <c r="W95">
        <v>151.28501990000899</v>
      </c>
      <c r="X95">
        <v>151.28501990000899</v>
      </c>
      <c r="Y95">
        <v>2.5201099982950802E-2</v>
      </c>
      <c r="Z95">
        <v>153.39706449999301</v>
      </c>
      <c r="AA95" t="s">
        <v>323</v>
      </c>
      <c r="AB95" t="s">
        <v>324</v>
      </c>
      <c r="AC95" t="s">
        <v>58</v>
      </c>
      <c r="AD95" t="s">
        <v>59</v>
      </c>
      <c r="AE95" t="s">
        <v>59</v>
      </c>
      <c r="AF95" t="s">
        <v>325</v>
      </c>
      <c r="AG95" t="s">
        <v>61</v>
      </c>
      <c r="AL95" t="s">
        <v>45</v>
      </c>
      <c r="AM95">
        <v>1</v>
      </c>
      <c r="AN95" t="s">
        <v>46</v>
      </c>
      <c r="AO95" t="s">
        <v>47</v>
      </c>
      <c r="AQ95" t="s">
        <v>48</v>
      </c>
      <c r="AR95">
        <v>60.014499505194401</v>
      </c>
      <c r="AS95" t="s">
        <v>49</v>
      </c>
    </row>
    <row r="96" spans="1:45" x14ac:dyDescent="0.35">
      <c r="A96">
        <v>93</v>
      </c>
      <c r="B96">
        <v>0</v>
      </c>
      <c r="C96">
        <v>93</v>
      </c>
      <c r="D96" t="s">
        <v>206</v>
      </c>
      <c r="E96" t="s">
        <v>75</v>
      </c>
      <c r="F96" t="s">
        <v>52</v>
      </c>
      <c r="G96" t="s">
        <v>53</v>
      </c>
      <c r="H96" t="s">
        <v>53</v>
      </c>
      <c r="I96" t="s">
        <v>326</v>
      </c>
      <c r="J96" t="s">
        <v>55</v>
      </c>
      <c r="K96">
        <v>93</v>
      </c>
      <c r="L96">
        <v>0</v>
      </c>
      <c r="M96">
        <v>93</v>
      </c>
      <c r="N96">
        <v>0</v>
      </c>
      <c r="O96">
        <v>153.46859979999101</v>
      </c>
      <c r="U96">
        <v>10</v>
      </c>
      <c r="V96">
        <v>153.44882280001099</v>
      </c>
      <c r="W96">
        <v>153.46859979999101</v>
      </c>
      <c r="X96">
        <v>153.46859979999101</v>
      </c>
      <c r="Y96">
        <v>5.1382100005866897E-2</v>
      </c>
      <c r="Z96">
        <v>154.94515499999301</v>
      </c>
      <c r="AA96" t="s">
        <v>206</v>
      </c>
      <c r="AB96" t="s">
        <v>75</v>
      </c>
      <c r="AC96" t="s">
        <v>52</v>
      </c>
      <c r="AD96" t="s">
        <v>53</v>
      </c>
      <c r="AE96" t="s">
        <v>53</v>
      </c>
      <c r="AF96" t="s">
        <v>326</v>
      </c>
      <c r="AG96" t="s">
        <v>55</v>
      </c>
      <c r="AL96" t="s">
        <v>45</v>
      </c>
      <c r="AM96">
        <v>1</v>
      </c>
      <c r="AN96" t="s">
        <v>46</v>
      </c>
      <c r="AO96" t="s">
        <v>47</v>
      </c>
      <c r="AQ96" t="s">
        <v>48</v>
      </c>
      <c r="AR96">
        <v>60.014499505194401</v>
      </c>
      <c r="AS96" t="s">
        <v>49</v>
      </c>
    </row>
    <row r="97" spans="1:45" x14ac:dyDescent="0.35">
      <c r="A97">
        <v>94</v>
      </c>
      <c r="B97">
        <v>0</v>
      </c>
      <c r="C97">
        <v>94</v>
      </c>
      <c r="D97" t="s">
        <v>327</v>
      </c>
      <c r="E97" t="s">
        <v>328</v>
      </c>
      <c r="F97" t="s">
        <v>52</v>
      </c>
      <c r="G97" t="s">
        <v>53</v>
      </c>
      <c r="H97" t="s">
        <v>53</v>
      </c>
      <c r="I97" t="s">
        <v>329</v>
      </c>
      <c r="J97" t="s">
        <v>55</v>
      </c>
      <c r="K97">
        <v>94</v>
      </c>
      <c r="L97">
        <v>0</v>
      </c>
      <c r="M97">
        <v>94</v>
      </c>
      <c r="N97">
        <v>0</v>
      </c>
      <c r="O97">
        <v>154.983123000012</v>
      </c>
      <c r="U97">
        <v>5</v>
      </c>
      <c r="V97">
        <v>154.969726100011</v>
      </c>
      <c r="W97">
        <v>154.983123000012</v>
      </c>
      <c r="X97">
        <v>154.983123000012</v>
      </c>
      <c r="Y97">
        <v>2.42016999982297E-2</v>
      </c>
      <c r="Z97">
        <v>156.14564140001301</v>
      </c>
      <c r="AA97" t="s">
        <v>327</v>
      </c>
      <c r="AB97" t="s">
        <v>328</v>
      </c>
      <c r="AC97" t="s">
        <v>52</v>
      </c>
      <c r="AD97" t="s">
        <v>53</v>
      </c>
      <c r="AE97" t="s">
        <v>53</v>
      </c>
      <c r="AF97" t="s">
        <v>329</v>
      </c>
      <c r="AG97" t="s">
        <v>55</v>
      </c>
      <c r="AL97" t="s">
        <v>45</v>
      </c>
      <c r="AM97">
        <v>1</v>
      </c>
      <c r="AN97" t="s">
        <v>46</v>
      </c>
      <c r="AO97" t="s">
        <v>47</v>
      </c>
      <c r="AQ97" t="s">
        <v>48</v>
      </c>
      <c r="AR97">
        <v>60.014499505194401</v>
      </c>
      <c r="AS97" t="s">
        <v>49</v>
      </c>
    </row>
    <row r="98" spans="1:45" x14ac:dyDescent="0.35">
      <c r="A98">
        <v>95</v>
      </c>
      <c r="B98">
        <v>0</v>
      </c>
      <c r="C98">
        <v>95</v>
      </c>
      <c r="D98" t="s">
        <v>330</v>
      </c>
      <c r="E98" t="s">
        <v>331</v>
      </c>
      <c r="F98" t="s">
        <v>52</v>
      </c>
      <c r="G98" t="s">
        <v>53</v>
      </c>
      <c r="H98" t="s">
        <v>53</v>
      </c>
      <c r="I98" t="s">
        <v>332</v>
      </c>
      <c r="J98" t="s">
        <v>55</v>
      </c>
      <c r="K98">
        <v>95</v>
      </c>
      <c r="L98">
        <v>0</v>
      </c>
      <c r="M98">
        <v>95</v>
      </c>
      <c r="N98">
        <v>0</v>
      </c>
      <c r="O98">
        <v>156.19262049999</v>
      </c>
      <c r="U98">
        <v>5</v>
      </c>
      <c r="V98">
        <v>156.17309130000601</v>
      </c>
      <c r="W98">
        <v>156.19262049999</v>
      </c>
      <c r="X98">
        <v>156.19262049999</v>
      </c>
      <c r="Y98">
        <v>2.7107500005513398E-2</v>
      </c>
      <c r="Z98">
        <v>157.64728309999899</v>
      </c>
      <c r="AA98" t="s">
        <v>330</v>
      </c>
      <c r="AB98" t="s">
        <v>331</v>
      </c>
      <c r="AC98" t="s">
        <v>52</v>
      </c>
      <c r="AD98" t="s">
        <v>53</v>
      </c>
      <c r="AE98" t="s">
        <v>53</v>
      </c>
      <c r="AF98" t="s">
        <v>332</v>
      </c>
      <c r="AG98" t="s">
        <v>55</v>
      </c>
      <c r="AL98" t="s">
        <v>45</v>
      </c>
      <c r="AM98">
        <v>1</v>
      </c>
      <c r="AN98" t="s">
        <v>46</v>
      </c>
      <c r="AO98" t="s">
        <v>47</v>
      </c>
      <c r="AQ98" t="s">
        <v>48</v>
      </c>
      <c r="AR98">
        <v>60.014499505194401</v>
      </c>
      <c r="AS98" t="s">
        <v>49</v>
      </c>
    </row>
    <row r="99" spans="1:45" x14ac:dyDescent="0.35">
      <c r="A99">
        <v>96</v>
      </c>
      <c r="B99">
        <v>0</v>
      </c>
      <c r="C99">
        <v>96</v>
      </c>
      <c r="D99" t="s">
        <v>333</v>
      </c>
      <c r="E99" t="s">
        <v>299</v>
      </c>
      <c r="F99" t="s">
        <v>52</v>
      </c>
      <c r="G99" t="s">
        <v>53</v>
      </c>
      <c r="H99" t="s">
        <v>53</v>
      </c>
      <c r="I99" t="s">
        <v>334</v>
      </c>
      <c r="J99" t="s">
        <v>55</v>
      </c>
      <c r="K99">
        <v>96</v>
      </c>
      <c r="L99">
        <v>0</v>
      </c>
      <c r="M99">
        <v>96</v>
      </c>
      <c r="N99">
        <v>0</v>
      </c>
      <c r="O99">
        <v>157.71403370000101</v>
      </c>
      <c r="U99">
        <v>10</v>
      </c>
      <c r="V99">
        <v>157.694788799999</v>
      </c>
      <c r="W99">
        <v>157.71403370000101</v>
      </c>
      <c r="X99">
        <v>157.71403370000101</v>
      </c>
      <c r="Y99">
        <v>4.7323900012997903E-2</v>
      </c>
      <c r="Z99">
        <v>158.86197480000499</v>
      </c>
      <c r="AA99" t="s">
        <v>333</v>
      </c>
      <c r="AB99" t="s">
        <v>299</v>
      </c>
      <c r="AC99" t="s">
        <v>52</v>
      </c>
      <c r="AD99" t="s">
        <v>53</v>
      </c>
      <c r="AE99" t="s">
        <v>53</v>
      </c>
      <c r="AF99" t="s">
        <v>334</v>
      </c>
      <c r="AG99" t="s">
        <v>55</v>
      </c>
      <c r="AL99" t="s">
        <v>45</v>
      </c>
      <c r="AM99">
        <v>1</v>
      </c>
      <c r="AN99" t="s">
        <v>46</v>
      </c>
      <c r="AO99" t="s">
        <v>47</v>
      </c>
      <c r="AQ99" t="s">
        <v>48</v>
      </c>
      <c r="AR99">
        <v>60.014499505194401</v>
      </c>
      <c r="AS99" t="s">
        <v>49</v>
      </c>
    </row>
    <row r="100" spans="1:45" x14ac:dyDescent="0.35">
      <c r="A100">
        <v>97</v>
      </c>
      <c r="B100">
        <v>0</v>
      </c>
      <c r="C100">
        <v>97</v>
      </c>
      <c r="D100" t="s">
        <v>335</v>
      </c>
      <c r="E100" t="s">
        <v>336</v>
      </c>
      <c r="F100" t="s">
        <v>52</v>
      </c>
      <c r="G100" t="s">
        <v>53</v>
      </c>
      <c r="H100" t="s">
        <v>53</v>
      </c>
      <c r="I100" t="s">
        <v>337</v>
      </c>
      <c r="J100" t="s">
        <v>55</v>
      </c>
      <c r="K100">
        <v>97</v>
      </c>
      <c r="L100">
        <v>0</v>
      </c>
      <c r="M100">
        <v>97</v>
      </c>
      <c r="N100">
        <v>0</v>
      </c>
      <c r="O100">
        <v>158.93372060000499</v>
      </c>
      <c r="U100">
        <v>10</v>
      </c>
      <c r="V100">
        <v>158.91325429998599</v>
      </c>
      <c r="W100">
        <v>158.93372060000499</v>
      </c>
      <c r="X100">
        <v>158.93372060000499</v>
      </c>
      <c r="Y100">
        <v>5.0910999998450203E-2</v>
      </c>
      <c r="Z100">
        <v>159.978897799999</v>
      </c>
      <c r="AA100" t="s">
        <v>335</v>
      </c>
      <c r="AB100" t="s">
        <v>336</v>
      </c>
      <c r="AC100" t="s">
        <v>52</v>
      </c>
      <c r="AD100" t="s">
        <v>53</v>
      </c>
      <c r="AE100" t="s">
        <v>53</v>
      </c>
      <c r="AF100" t="s">
        <v>337</v>
      </c>
      <c r="AG100" t="s">
        <v>55</v>
      </c>
      <c r="AL100" t="s">
        <v>45</v>
      </c>
      <c r="AM100">
        <v>1</v>
      </c>
      <c r="AN100" t="s">
        <v>46</v>
      </c>
      <c r="AO100" t="s">
        <v>47</v>
      </c>
      <c r="AQ100" t="s">
        <v>48</v>
      </c>
      <c r="AR100">
        <v>60.014499505194401</v>
      </c>
      <c r="AS100" t="s">
        <v>49</v>
      </c>
    </row>
    <row r="101" spans="1:45" x14ac:dyDescent="0.35">
      <c r="A101">
        <v>98</v>
      </c>
      <c r="B101">
        <v>0</v>
      </c>
      <c r="C101">
        <v>98</v>
      </c>
      <c r="D101" t="s">
        <v>338</v>
      </c>
      <c r="E101" t="s">
        <v>339</v>
      </c>
      <c r="F101" t="s">
        <v>52</v>
      </c>
      <c r="G101" t="s">
        <v>53</v>
      </c>
      <c r="H101" t="s">
        <v>53</v>
      </c>
      <c r="I101" t="s">
        <v>340</v>
      </c>
      <c r="J101" t="s">
        <v>55</v>
      </c>
      <c r="K101">
        <v>98</v>
      </c>
      <c r="L101">
        <v>0</v>
      </c>
      <c r="M101">
        <v>98</v>
      </c>
      <c r="N101">
        <v>0</v>
      </c>
      <c r="O101">
        <v>160.01649959999401</v>
      </c>
      <c r="U101">
        <v>5</v>
      </c>
      <c r="V101">
        <v>160.00373940001001</v>
      </c>
      <c r="W101">
        <v>160.01649959999401</v>
      </c>
      <c r="X101">
        <v>160.01649959999401</v>
      </c>
      <c r="Y101">
        <v>2.45341999980155E-2</v>
      </c>
      <c r="Z101">
        <v>161.74546529998699</v>
      </c>
      <c r="AA101" t="s">
        <v>338</v>
      </c>
      <c r="AB101" t="s">
        <v>339</v>
      </c>
      <c r="AC101" t="s">
        <v>52</v>
      </c>
      <c r="AD101" t="s">
        <v>53</v>
      </c>
      <c r="AE101" t="s">
        <v>53</v>
      </c>
      <c r="AF101" t="s">
        <v>340</v>
      </c>
      <c r="AG101" t="s">
        <v>55</v>
      </c>
      <c r="AL101" t="s">
        <v>45</v>
      </c>
      <c r="AM101">
        <v>1</v>
      </c>
      <c r="AN101" t="s">
        <v>46</v>
      </c>
      <c r="AO101" t="s">
        <v>47</v>
      </c>
      <c r="AQ101" t="s">
        <v>48</v>
      </c>
      <c r="AR101">
        <v>60.014499505194401</v>
      </c>
      <c r="AS101" t="s">
        <v>49</v>
      </c>
    </row>
    <row r="102" spans="1:45" x14ac:dyDescent="0.35">
      <c r="A102">
        <v>99</v>
      </c>
      <c r="B102">
        <v>0</v>
      </c>
      <c r="C102">
        <v>99</v>
      </c>
      <c r="D102" t="s">
        <v>341</v>
      </c>
      <c r="E102" t="s">
        <v>342</v>
      </c>
      <c r="F102" t="s">
        <v>52</v>
      </c>
      <c r="G102" t="s">
        <v>53</v>
      </c>
      <c r="H102" t="s">
        <v>53</v>
      </c>
      <c r="I102" t="s">
        <v>343</v>
      </c>
      <c r="J102" t="s">
        <v>55</v>
      </c>
      <c r="K102">
        <v>99</v>
      </c>
      <c r="L102">
        <v>0</v>
      </c>
      <c r="M102">
        <v>99</v>
      </c>
      <c r="N102">
        <v>0</v>
      </c>
      <c r="O102">
        <v>161.818106799997</v>
      </c>
      <c r="U102">
        <v>10</v>
      </c>
      <c r="V102">
        <v>161.798039599991</v>
      </c>
      <c r="W102">
        <v>161.818106799997</v>
      </c>
      <c r="X102">
        <v>161.818106799997</v>
      </c>
      <c r="Y102">
        <v>5.2357699983985997E-2</v>
      </c>
      <c r="Z102">
        <v>163.26202319998899</v>
      </c>
      <c r="AA102" t="s">
        <v>341</v>
      </c>
      <c r="AB102" t="s">
        <v>342</v>
      </c>
      <c r="AC102" t="s">
        <v>52</v>
      </c>
      <c r="AD102" t="s">
        <v>53</v>
      </c>
      <c r="AE102" t="s">
        <v>53</v>
      </c>
      <c r="AF102" t="s">
        <v>343</v>
      </c>
      <c r="AG102" t="s">
        <v>55</v>
      </c>
      <c r="AL102" t="s">
        <v>45</v>
      </c>
      <c r="AM102">
        <v>1</v>
      </c>
      <c r="AN102" t="s">
        <v>46</v>
      </c>
      <c r="AO102" t="s">
        <v>47</v>
      </c>
      <c r="AQ102" t="s">
        <v>48</v>
      </c>
      <c r="AR102">
        <v>60.014499505194401</v>
      </c>
      <c r="AS102" t="s">
        <v>49</v>
      </c>
    </row>
    <row r="103" spans="1:45" x14ac:dyDescent="0.35">
      <c r="A103">
        <v>100</v>
      </c>
      <c r="B103">
        <v>0</v>
      </c>
      <c r="C103">
        <v>100</v>
      </c>
      <c r="D103" t="s">
        <v>344</v>
      </c>
      <c r="E103" t="s">
        <v>345</v>
      </c>
      <c r="F103" t="s">
        <v>52</v>
      </c>
      <c r="G103" t="s">
        <v>53</v>
      </c>
      <c r="H103" t="s">
        <v>53</v>
      </c>
      <c r="I103" t="s">
        <v>346</v>
      </c>
      <c r="J103" t="s">
        <v>55</v>
      </c>
      <c r="K103">
        <v>100</v>
      </c>
      <c r="L103">
        <v>0</v>
      </c>
      <c r="M103">
        <v>100</v>
      </c>
      <c r="N103">
        <v>0</v>
      </c>
      <c r="O103">
        <v>163.33191290000099</v>
      </c>
      <c r="U103">
        <v>10</v>
      </c>
      <c r="V103">
        <v>163.31005140001</v>
      </c>
      <c r="W103">
        <v>163.33191290000099</v>
      </c>
      <c r="X103">
        <v>163.33191290000099</v>
      </c>
      <c r="Y103">
        <v>4.7717800014652298E-2</v>
      </c>
      <c r="Z103">
        <v>164.64718279999201</v>
      </c>
      <c r="AA103" t="s">
        <v>344</v>
      </c>
      <c r="AB103" t="s">
        <v>345</v>
      </c>
      <c r="AC103" t="s">
        <v>52</v>
      </c>
      <c r="AD103" t="s">
        <v>53</v>
      </c>
      <c r="AE103" t="s">
        <v>53</v>
      </c>
      <c r="AF103" t="s">
        <v>346</v>
      </c>
      <c r="AG103" t="s">
        <v>55</v>
      </c>
      <c r="AL103" t="s">
        <v>45</v>
      </c>
      <c r="AM103">
        <v>1</v>
      </c>
      <c r="AN103" t="s">
        <v>46</v>
      </c>
      <c r="AO103" t="s">
        <v>47</v>
      </c>
      <c r="AQ103" t="s">
        <v>48</v>
      </c>
      <c r="AR103">
        <v>60.014499505194401</v>
      </c>
      <c r="AS103" t="s">
        <v>49</v>
      </c>
    </row>
    <row r="104" spans="1:45" x14ac:dyDescent="0.35">
      <c r="A104">
        <v>101</v>
      </c>
      <c r="B104">
        <v>0</v>
      </c>
      <c r="C104">
        <v>101</v>
      </c>
      <c r="D104" t="s">
        <v>347</v>
      </c>
      <c r="E104" t="s">
        <v>114</v>
      </c>
      <c r="F104" t="s">
        <v>52</v>
      </c>
      <c r="G104" t="s">
        <v>53</v>
      </c>
      <c r="H104" t="s">
        <v>53</v>
      </c>
      <c r="I104" t="s">
        <v>348</v>
      </c>
      <c r="J104" t="s">
        <v>55</v>
      </c>
      <c r="K104">
        <v>101</v>
      </c>
      <c r="L104">
        <v>0</v>
      </c>
      <c r="M104">
        <v>101</v>
      </c>
      <c r="N104">
        <v>0</v>
      </c>
      <c r="O104">
        <v>164.694376400002</v>
      </c>
      <c r="U104">
        <v>5</v>
      </c>
      <c r="V104">
        <v>164.67986699999801</v>
      </c>
      <c r="W104">
        <v>164.694376400002</v>
      </c>
      <c r="X104">
        <v>164.694376400002</v>
      </c>
      <c r="Y104">
        <v>3.23582999990321E-2</v>
      </c>
      <c r="Z104">
        <v>165.862935200013</v>
      </c>
      <c r="AA104" t="s">
        <v>347</v>
      </c>
      <c r="AB104" t="s">
        <v>114</v>
      </c>
      <c r="AC104" t="s">
        <v>52</v>
      </c>
      <c r="AD104" t="s">
        <v>53</v>
      </c>
      <c r="AE104" t="s">
        <v>53</v>
      </c>
      <c r="AF104" t="s">
        <v>348</v>
      </c>
      <c r="AG104" t="s">
        <v>55</v>
      </c>
      <c r="AL104" t="s">
        <v>45</v>
      </c>
      <c r="AM104">
        <v>1</v>
      </c>
      <c r="AN104" t="s">
        <v>46</v>
      </c>
      <c r="AO104" t="s">
        <v>47</v>
      </c>
      <c r="AQ104" t="s">
        <v>48</v>
      </c>
      <c r="AR104">
        <v>60.014499505194401</v>
      </c>
      <c r="AS104" t="s">
        <v>49</v>
      </c>
    </row>
    <row r="105" spans="1:45" x14ac:dyDescent="0.35">
      <c r="A105">
        <v>102</v>
      </c>
      <c r="B105">
        <v>0</v>
      </c>
      <c r="C105">
        <v>102</v>
      </c>
      <c r="D105" t="s">
        <v>349</v>
      </c>
      <c r="E105" t="s">
        <v>350</v>
      </c>
      <c r="F105" t="s">
        <v>52</v>
      </c>
      <c r="G105" t="s">
        <v>53</v>
      </c>
      <c r="H105" t="s">
        <v>53</v>
      </c>
      <c r="I105" t="s">
        <v>351</v>
      </c>
      <c r="J105" t="s">
        <v>55</v>
      </c>
      <c r="K105">
        <v>102</v>
      </c>
      <c r="L105">
        <v>0</v>
      </c>
      <c r="M105">
        <v>102</v>
      </c>
      <c r="N105">
        <v>0</v>
      </c>
      <c r="O105">
        <v>165.932007199997</v>
      </c>
      <c r="U105">
        <v>10</v>
      </c>
      <c r="V105">
        <v>165.913564499991</v>
      </c>
      <c r="W105">
        <v>165.932007199997</v>
      </c>
      <c r="X105">
        <v>165.932007199997</v>
      </c>
      <c r="Y105">
        <v>5.0329699995927499E-2</v>
      </c>
      <c r="Z105">
        <v>167.34519739999001</v>
      </c>
      <c r="AA105" t="s">
        <v>349</v>
      </c>
      <c r="AB105" t="s">
        <v>350</v>
      </c>
      <c r="AC105" t="s">
        <v>52</v>
      </c>
      <c r="AD105" t="s">
        <v>53</v>
      </c>
      <c r="AE105" t="s">
        <v>53</v>
      </c>
      <c r="AF105" t="s">
        <v>351</v>
      </c>
      <c r="AG105" t="s">
        <v>55</v>
      </c>
      <c r="AL105" t="s">
        <v>45</v>
      </c>
      <c r="AM105">
        <v>1</v>
      </c>
      <c r="AN105" t="s">
        <v>46</v>
      </c>
      <c r="AO105" t="s">
        <v>47</v>
      </c>
      <c r="AQ105" t="s">
        <v>48</v>
      </c>
      <c r="AR105">
        <v>60.014499505194401</v>
      </c>
      <c r="AS105" t="s">
        <v>49</v>
      </c>
    </row>
    <row r="106" spans="1:45" x14ac:dyDescent="0.35">
      <c r="A106">
        <v>103</v>
      </c>
      <c r="B106">
        <v>0</v>
      </c>
      <c r="C106">
        <v>103</v>
      </c>
      <c r="D106" t="s">
        <v>231</v>
      </c>
      <c r="E106" t="s">
        <v>352</v>
      </c>
      <c r="F106" t="s">
        <v>52</v>
      </c>
      <c r="G106" t="s">
        <v>53</v>
      </c>
      <c r="H106" t="s">
        <v>53</v>
      </c>
      <c r="I106" t="s">
        <v>353</v>
      </c>
      <c r="J106" t="s">
        <v>55</v>
      </c>
      <c r="K106">
        <v>103</v>
      </c>
      <c r="L106">
        <v>0</v>
      </c>
      <c r="M106">
        <v>103</v>
      </c>
      <c r="N106">
        <v>0</v>
      </c>
      <c r="O106">
        <v>167.38309419999101</v>
      </c>
      <c r="U106">
        <v>5</v>
      </c>
      <c r="V106">
        <v>167.371150699997</v>
      </c>
      <c r="W106">
        <v>167.38309419999101</v>
      </c>
      <c r="X106">
        <v>167.38309419999101</v>
      </c>
      <c r="Y106">
        <v>2.56113999930676E-2</v>
      </c>
      <c r="Z106">
        <v>168.63149749999801</v>
      </c>
      <c r="AA106" t="s">
        <v>231</v>
      </c>
      <c r="AB106" t="s">
        <v>352</v>
      </c>
      <c r="AC106" t="s">
        <v>52</v>
      </c>
      <c r="AD106" t="s">
        <v>53</v>
      </c>
      <c r="AE106" t="s">
        <v>53</v>
      </c>
      <c r="AF106" t="s">
        <v>353</v>
      </c>
      <c r="AG106" t="s">
        <v>55</v>
      </c>
      <c r="AL106" t="s">
        <v>45</v>
      </c>
      <c r="AM106">
        <v>1</v>
      </c>
      <c r="AN106" t="s">
        <v>46</v>
      </c>
      <c r="AO106" t="s">
        <v>47</v>
      </c>
      <c r="AQ106" t="s">
        <v>48</v>
      </c>
      <c r="AR106">
        <v>60.014499505194401</v>
      </c>
      <c r="AS106" t="s">
        <v>49</v>
      </c>
    </row>
    <row r="107" spans="1:45" x14ac:dyDescent="0.35">
      <c r="A107">
        <v>104</v>
      </c>
      <c r="B107">
        <v>0</v>
      </c>
      <c r="C107">
        <v>104</v>
      </c>
      <c r="D107" t="s">
        <v>303</v>
      </c>
      <c r="E107" t="s">
        <v>354</v>
      </c>
      <c r="F107" t="s">
        <v>52</v>
      </c>
      <c r="G107" t="s">
        <v>53</v>
      </c>
      <c r="H107" t="s">
        <v>53</v>
      </c>
      <c r="I107" t="s">
        <v>355</v>
      </c>
      <c r="J107" t="s">
        <v>55</v>
      </c>
      <c r="K107">
        <v>104</v>
      </c>
      <c r="L107">
        <v>0</v>
      </c>
      <c r="M107">
        <v>104</v>
      </c>
      <c r="N107">
        <v>0</v>
      </c>
      <c r="O107">
        <v>168.66912860001301</v>
      </c>
      <c r="U107">
        <v>5</v>
      </c>
      <c r="V107">
        <v>168.65708189998901</v>
      </c>
      <c r="W107">
        <v>168.66912860001301</v>
      </c>
      <c r="X107">
        <v>168.66912860001301</v>
      </c>
      <c r="Y107">
        <v>2.52749999926891E-2</v>
      </c>
      <c r="Z107">
        <v>170.012989400012</v>
      </c>
      <c r="AA107" t="s">
        <v>303</v>
      </c>
      <c r="AB107" t="s">
        <v>354</v>
      </c>
      <c r="AC107" t="s">
        <v>52</v>
      </c>
      <c r="AD107" t="s">
        <v>53</v>
      </c>
      <c r="AE107" t="s">
        <v>53</v>
      </c>
      <c r="AF107" t="s">
        <v>355</v>
      </c>
      <c r="AG107" t="s">
        <v>55</v>
      </c>
      <c r="AL107" t="s">
        <v>45</v>
      </c>
      <c r="AM107">
        <v>1</v>
      </c>
      <c r="AN107" t="s">
        <v>46</v>
      </c>
      <c r="AO107" t="s">
        <v>47</v>
      </c>
      <c r="AQ107" t="s">
        <v>48</v>
      </c>
      <c r="AR107">
        <v>60.014499505194401</v>
      </c>
      <c r="AS107" t="s">
        <v>49</v>
      </c>
    </row>
    <row r="108" spans="1:45" x14ac:dyDescent="0.35">
      <c r="A108">
        <v>105</v>
      </c>
      <c r="B108">
        <v>0</v>
      </c>
      <c r="C108">
        <v>105</v>
      </c>
      <c r="D108" t="s">
        <v>356</v>
      </c>
      <c r="E108" t="s">
        <v>357</v>
      </c>
      <c r="F108" t="s">
        <v>52</v>
      </c>
      <c r="G108" t="s">
        <v>53</v>
      </c>
      <c r="H108" t="s">
        <v>53</v>
      </c>
      <c r="I108" t="s">
        <v>358</v>
      </c>
      <c r="J108" t="s">
        <v>55</v>
      </c>
      <c r="K108">
        <v>105</v>
      </c>
      <c r="L108">
        <v>0</v>
      </c>
      <c r="M108">
        <v>105</v>
      </c>
      <c r="N108">
        <v>0</v>
      </c>
      <c r="O108">
        <v>170.08353840000899</v>
      </c>
      <c r="U108">
        <v>10</v>
      </c>
      <c r="V108">
        <v>170.065718199999</v>
      </c>
      <c r="W108">
        <v>170.08353840000899</v>
      </c>
      <c r="X108">
        <v>170.08353840000899</v>
      </c>
      <c r="Y108">
        <v>5.2460300008533502E-2</v>
      </c>
      <c r="Z108">
        <v>171.64610039998601</v>
      </c>
      <c r="AA108" t="s">
        <v>356</v>
      </c>
      <c r="AB108" t="s">
        <v>357</v>
      </c>
      <c r="AC108" t="s">
        <v>52</v>
      </c>
      <c r="AD108" t="s">
        <v>53</v>
      </c>
      <c r="AE108" t="s">
        <v>53</v>
      </c>
      <c r="AF108" t="s">
        <v>358</v>
      </c>
      <c r="AG108" t="s">
        <v>55</v>
      </c>
      <c r="AL108" t="s">
        <v>45</v>
      </c>
      <c r="AM108">
        <v>1</v>
      </c>
      <c r="AN108" t="s">
        <v>46</v>
      </c>
      <c r="AO108" t="s">
        <v>47</v>
      </c>
      <c r="AQ108" t="s">
        <v>48</v>
      </c>
      <c r="AR108">
        <v>60.014499505194401</v>
      </c>
      <c r="AS108" t="s">
        <v>49</v>
      </c>
    </row>
    <row r="109" spans="1:45" x14ac:dyDescent="0.35">
      <c r="A109">
        <v>106</v>
      </c>
      <c r="B109">
        <v>0</v>
      </c>
      <c r="C109">
        <v>106</v>
      </c>
      <c r="D109" t="s">
        <v>359</v>
      </c>
      <c r="E109" t="s">
        <v>360</v>
      </c>
      <c r="F109" t="s">
        <v>58</v>
      </c>
      <c r="G109" t="s">
        <v>59</v>
      </c>
      <c r="H109" t="s">
        <v>59</v>
      </c>
      <c r="I109" t="s">
        <v>361</v>
      </c>
      <c r="J109" t="s">
        <v>61</v>
      </c>
      <c r="K109">
        <v>106</v>
      </c>
      <c r="L109">
        <v>0</v>
      </c>
      <c r="M109">
        <v>106</v>
      </c>
      <c r="N109">
        <v>0</v>
      </c>
      <c r="O109">
        <v>171.68600029998899</v>
      </c>
      <c r="U109">
        <v>5</v>
      </c>
      <c r="V109">
        <v>171.673245999991</v>
      </c>
      <c r="W109">
        <v>171.68600029998899</v>
      </c>
      <c r="X109">
        <v>171.68600029998899</v>
      </c>
      <c r="Y109">
        <v>2.68293000117409E-2</v>
      </c>
      <c r="Z109">
        <v>174.14740340001299</v>
      </c>
      <c r="AA109" t="s">
        <v>359</v>
      </c>
      <c r="AB109" t="s">
        <v>360</v>
      </c>
      <c r="AC109" t="s">
        <v>58</v>
      </c>
      <c r="AD109" t="s">
        <v>59</v>
      </c>
      <c r="AE109" t="s">
        <v>59</v>
      </c>
      <c r="AF109" t="s">
        <v>361</v>
      </c>
      <c r="AG109" t="s">
        <v>61</v>
      </c>
      <c r="AL109" t="s">
        <v>45</v>
      </c>
      <c r="AM109">
        <v>1</v>
      </c>
      <c r="AN109" t="s">
        <v>46</v>
      </c>
      <c r="AO109" t="s">
        <v>47</v>
      </c>
      <c r="AQ109" t="s">
        <v>48</v>
      </c>
      <c r="AR109">
        <v>60.014499505194401</v>
      </c>
      <c r="AS109" t="s">
        <v>49</v>
      </c>
    </row>
    <row r="110" spans="1:45" x14ac:dyDescent="0.35">
      <c r="A110">
        <v>107</v>
      </c>
      <c r="B110">
        <v>0</v>
      </c>
      <c r="C110">
        <v>107</v>
      </c>
      <c r="D110" t="s">
        <v>153</v>
      </c>
      <c r="E110" t="s">
        <v>362</v>
      </c>
      <c r="F110" t="s">
        <v>52</v>
      </c>
      <c r="G110" t="s">
        <v>53</v>
      </c>
      <c r="H110" t="s">
        <v>53</v>
      </c>
      <c r="I110" t="s">
        <v>363</v>
      </c>
      <c r="J110" t="s">
        <v>55</v>
      </c>
      <c r="K110">
        <v>107</v>
      </c>
      <c r="L110">
        <v>0</v>
      </c>
      <c r="M110">
        <v>107</v>
      </c>
      <c r="N110">
        <v>0</v>
      </c>
      <c r="O110">
        <v>174.21541659999599</v>
      </c>
      <c r="U110">
        <v>10</v>
      </c>
      <c r="V110">
        <v>174.19688729999999</v>
      </c>
      <c r="W110">
        <v>174.21541659999599</v>
      </c>
      <c r="X110">
        <v>174.21541659999599</v>
      </c>
      <c r="Y110">
        <v>4.9048799992306102E-2</v>
      </c>
      <c r="Z110">
        <v>175.39637130001199</v>
      </c>
      <c r="AA110" t="s">
        <v>153</v>
      </c>
      <c r="AB110" t="s">
        <v>362</v>
      </c>
      <c r="AC110" t="s">
        <v>52</v>
      </c>
      <c r="AD110" t="s">
        <v>53</v>
      </c>
      <c r="AE110" t="s">
        <v>53</v>
      </c>
      <c r="AF110" t="s">
        <v>363</v>
      </c>
      <c r="AG110" t="s">
        <v>55</v>
      </c>
      <c r="AL110" t="s">
        <v>45</v>
      </c>
      <c r="AM110">
        <v>1</v>
      </c>
      <c r="AN110" t="s">
        <v>46</v>
      </c>
      <c r="AO110" t="s">
        <v>47</v>
      </c>
      <c r="AQ110" t="s">
        <v>48</v>
      </c>
      <c r="AR110">
        <v>60.014499505194401</v>
      </c>
      <c r="AS110" t="s">
        <v>49</v>
      </c>
    </row>
    <row r="111" spans="1:45" x14ac:dyDescent="0.35">
      <c r="A111">
        <v>108</v>
      </c>
      <c r="B111">
        <v>0</v>
      </c>
      <c r="C111">
        <v>108</v>
      </c>
      <c r="D111" t="s">
        <v>364</v>
      </c>
      <c r="E111" t="s">
        <v>365</v>
      </c>
      <c r="F111" t="s">
        <v>52</v>
      </c>
      <c r="G111" t="s">
        <v>53</v>
      </c>
      <c r="H111" t="s">
        <v>53</v>
      </c>
      <c r="I111" t="s">
        <v>366</v>
      </c>
      <c r="J111" t="s">
        <v>55</v>
      </c>
      <c r="K111">
        <v>108</v>
      </c>
      <c r="L111">
        <v>0</v>
      </c>
      <c r="M111">
        <v>108</v>
      </c>
      <c r="N111">
        <v>0</v>
      </c>
      <c r="O111">
        <v>175.43501590000201</v>
      </c>
      <c r="U111">
        <v>5</v>
      </c>
      <c r="V111">
        <v>175.422373600013</v>
      </c>
      <c r="W111">
        <v>175.43501590000201</v>
      </c>
      <c r="X111">
        <v>175.43501590000201</v>
      </c>
      <c r="Y111">
        <v>2.5690200011012999E-2</v>
      </c>
      <c r="Z111">
        <v>176.86306999999201</v>
      </c>
      <c r="AA111" t="s">
        <v>364</v>
      </c>
      <c r="AB111" t="s">
        <v>365</v>
      </c>
      <c r="AC111" t="s">
        <v>52</v>
      </c>
      <c r="AD111" t="s">
        <v>53</v>
      </c>
      <c r="AE111" t="s">
        <v>53</v>
      </c>
      <c r="AF111" t="s">
        <v>366</v>
      </c>
      <c r="AG111" t="s">
        <v>55</v>
      </c>
      <c r="AL111" t="s">
        <v>45</v>
      </c>
      <c r="AM111">
        <v>1</v>
      </c>
      <c r="AN111" t="s">
        <v>46</v>
      </c>
      <c r="AO111" t="s">
        <v>47</v>
      </c>
      <c r="AQ111" t="s">
        <v>48</v>
      </c>
      <c r="AR111">
        <v>60.014499505194401</v>
      </c>
      <c r="AS111" t="s">
        <v>49</v>
      </c>
    </row>
    <row r="112" spans="1:45" x14ac:dyDescent="0.35">
      <c r="A112">
        <v>109</v>
      </c>
      <c r="B112">
        <v>0</v>
      </c>
      <c r="C112">
        <v>109</v>
      </c>
      <c r="D112" t="s">
        <v>367</v>
      </c>
      <c r="E112" t="s">
        <v>368</v>
      </c>
      <c r="F112" t="s">
        <v>52</v>
      </c>
      <c r="G112" t="s">
        <v>53</v>
      </c>
      <c r="H112" t="s">
        <v>53</v>
      </c>
      <c r="I112" t="s">
        <v>369</v>
      </c>
      <c r="J112" t="s">
        <v>55</v>
      </c>
      <c r="K112">
        <v>109</v>
      </c>
      <c r="L112">
        <v>0</v>
      </c>
      <c r="M112">
        <v>109</v>
      </c>
      <c r="N112">
        <v>0</v>
      </c>
      <c r="O112">
        <v>176.89806589999299</v>
      </c>
      <c r="U112">
        <v>5</v>
      </c>
      <c r="V112">
        <v>176.886046300001</v>
      </c>
      <c r="W112">
        <v>176.89806589999299</v>
      </c>
      <c r="X112">
        <v>176.89806589999299</v>
      </c>
      <c r="Y112">
        <v>2.2792500007199099E-2</v>
      </c>
      <c r="Z112">
        <v>178.38025429999101</v>
      </c>
      <c r="AA112" t="s">
        <v>367</v>
      </c>
      <c r="AB112" t="s">
        <v>368</v>
      </c>
      <c r="AC112" t="s">
        <v>52</v>
      </c>
      <c r="AD112" t="s">
        <v>53</v>
      </c>
      <c r="AE112" t="s">
        <v>53</v>
      </c>
      <c r="AF112" t="s">
        <v>369</v>
      </c>
      <c r="AG112" t="s">
        <v>55</v>
      </c>
      <c r="AL112" t="s">
        <v>45</v>
      </c>
      <c r="AM112">
        <v>1</v>
      </c>
      <c r="AN112" t="s">
        <v>46</v>
      </c>
      <c r="AO112" t="s">
        <v>47</v>
      </c>
      <c r="AQ112" t="s">
        <v>48</v>
      </c>
      <c r="AR112">
        <v>60.014499505194401</v>
      </c>
      <c r="AS112" t="s">
        <v>49</v>
      </c>
    </row>
    <row r="113" spans="1:45" x14ac:dyDescent="0.35">
      <c r="A113">
        <v>110</v>
      </c>
      <c r="B113">
        <v>0</v>
      </c>
      <c r="C113">
        <v>110</v>
      </c>
      <c r="D113" t="s">
        <v>370</v>
      </c>
      <c r="E113" t="s">
        <v>371</v>
      </c>
      <c r="F113" t="s">
        <v>52</v>
      </c>
      <c r="G113" t="s">
        <v>53</v>
      </c>
      <c r="H113" t="s">
        <v>53</v>
      </c>
      <c r="I113" t="s">
        <v>372</v>
      </c>
      <c r="J113" t="s">
        <v>55</v>
      </c>
      <c r="K113">
        <v>110</v>
      </c>
      <c r="L113">
        <v>0</v>
      </c>
      <c r="M113">
        <v>110</v>
      </c>
      <c r="N113">
        <v>0</v>
      </c>
      <c r="O113">
        <v>178.41774509998501</v>
      </c>
      <c r="U113">
        <v>5</v>
      </c>
      <c r="V113">
        <v>178.40466699999499</v>
      </c>
      <c r="W113">
        <v>178.41774509998501</v>
      </c>
      <c r="X113">
        <v>178.41774509998501</v>
      </c>
      <c r="Y113">
        <v>2.42041999881621E-2</v>
      </c>
      <c r="Z113">
        <v>179.56153579999199</v>
      </c>
      <c r="AA113" t="s">
        <v>370</v>
      </c>
      <c r="AB113" t="s">
        <v>371</v>
      </c>
      <c r="AC113" t="s">
        <v>52</v>
      </c>
      <c r="AD113" t="s">
        <v>53</v>
      </c>
      <c r="AE113" t="s">
        <v>53</v>
      </c>
      <c r="AF113" t="s">
        <v>372</v>
      </c>
      <c r="AG113" t="s">
        <v>55</v>
      </c>
      <c r="AL113" t="s">
        <v>45</v>
      </c>
      <c r="AM113">
        <v>1</v>
      </c>
      <c r="AN113" t="s">
        <v>46</v>
      </c>
      <c r="AO113" t="s">
        <v>47</v>
      </c>
      <c r="AQ113" t="s">
        <v>48</v>
      </c>
      <c r="AR113">
        <v>60.014499505194401</v>
      </c>
      <c r="AS113" t="s">
        <v>49</v>
      </c>
    </row>
    <row r="114" spans="1:45" x14ac:dyDescent="0.35">
      <c r="A114">
        <v>111</v>
      </c>
      <c r="B114">
        <v>0</v>
      </c>
      <c r="C114">
        <v>111</v>
      </c>
      <c r="D114" t="s">
        <v>373</v>
      </c>
      <c r="E114" t="s">
        <v>374</v>
      </c>
      <c r="F114" t="s">
        <v>52</v>
      </c>
      <c r="G114" t="s">
        <v>53</v>
      </c>
      <c r="H114" t="s">
        <v>53</v>
      </c>
      <c r="I114" t="s">
        <v>375</v>
      </c>
      <c r="J114" t="s">
        <v>55</v>
      </c>
      <c r="K114">
        <v>111</v>
      </c>
      <c r="L114">
        <v>0</v>
      </c>
      <c r="M114">
        <v>111</v>
      </c>
      <c r="N114">
        <v>0</v>
      </c>
      <c r="O114">
        <v>179.628587899991</v>
      </c>
      <c r="U114">
        <v>10</v>
      </c>
      <c r="V114">
        <v>179.60785470000701</v>
      </c>
      <c r="W114">
        <v>179.628587899991</v>
      </c>
      <c r="X114">
        <v>179.628587899991</v>
      </c>
      <c r="Y114">
        <v>4.6053400001255698E-2</v>
      </c>
      <c r="Z114">
        <v>181.62838589999501</v>
      </c>
      <c r="AA114" t="s">
        <v>373</v>
      </c>
      <c r="AB114" t="s">
        <v>374</v>
      </c>
      <c r="AC114" t="s">
        <v>52</v>
      </c>
      <c r="AD114" t="s">
        <v>53</v>
      </c>
      <c r="AE114" t="s">
        <v>53</v>
      </c>
      <c r="AF114" t="s">
        <v>375</v>
      </c>
      <c r="AG114" t="s">
        <v>55</v>
      </c>
      <c r="AL114" t="s">
        <v>45</v>
      </c>
      <c r="AM114">
        <v>1</v>
      </c>
      <c r="AN114" t="s">
        <v>46</v>
      </c>
      <c r="AO114" t="s">
        <v>47</v>
      </c>
      <c r="AQ114" t="s">
        <v>48</v>
      </c>
      <c r="AR114">
        <v>60.014499505194401</v>
      </c>
      <c r="AS114" t="s">
        <v>49</v>
      </c>
    </row>
    <row r="115" spans="1:45" x14ac:dyDescent="0.35">
      <c r="A115">
        <v>112</v>
      </c>
      <c r="B115">
        <v>0</v>
      </c>
      <c r="C115">
        <v>112</v>
      </c>
      <c r="D115" t="s">
        <v>362</v>
      </c>
      <c r="E115" t="s">
        <v>376</v>
      </c>
      <c r="F115" t="s">
        <v>52</v>
      </c>
      <c r="G115" t="s">
        <v>53</v>
      </c>
      <c r="H115" t="s">
        <v>53</v>
      </c>
      <c r="I115" t="s">
        <v>377</v>
      </c>
      <c r="J115" t="s">
        <v>55</v>
      </c>
      <c r="K115">
        <v>112</v>
      </c>
      <c r="L115">
        <v>0</v>
      </c>
      <c r="M115">
        <v>112</v>
      </c>
      <c r="N115">
        <v>0</v>
      </c>
      <c r="O115">
        <v>181.69888109998999</v>
      </c>
      <c r="U115">
        <v>10</v>
      </c>
      <c r="V115">
        <v>181.678564200003</v>
      </c>
      <c r="W115">
        <v>181.69888109998999</v>
      </c>
      <c r="X115">
        <v>181.69888109998999</v>
      </c>
      <c r="Y115">
        <v>4.9855799996293998E-2</v>
      </c>
      <c r="Z115">
        <v>183.028309299988</v>
      </c>
      <c r="AA115" t="s">
        <v>362</v>
      </c>
      <c r="AB115" t="s">
        <v>376</v>
      </c>
      <c r="AC115" t="s">
        <v>52</v>
      </c>
      <c r="AD115" t="s">
        <v>53</v>
      </c>
      <c r="AE115" t="s">
        <v>53</v>
      </c>
      <c r="AF115" t="s">
        <v>377</v>
      </c>
      <c r="AG115" t="s">
        <v>55</v>
      </c>
      <c r="AL115" t="s">
        <v>45</v>
      </c>
      <c r="AM115">
        <v>1</v>
      </c>
      <c r="AN115" t="s">
        <v>46</v>
      </c>
      <c r="AO115" t="s">
        <v>47</v>
      </c>
      <c r="AQ115" t="s">
        <v>48</v>
      </c>
      <c r="AR115">
        <v>60.014499505194401</v>
      </c>
      <c r="AS115" t="s">
        <v>49</v>
      </c>
    </row>
    <row r="116" spans="1:45" x14ac:dyDescent="0.35">
      <c r="A116">
        <v>113</v>
      </c>
      <c r="B116">
        <v>0</v>
      </c>
      <c r="C116">
        <v>113</v>
      </c>
      <c r="D116" t="s">
        <v>378</v>
      </c>
      <c r="E116" t="s">
        <v>379</v>
      </c>
      <c r="F116" t="s">
        <v>52</v>
      </c>
      <c r="G116" t="s">
        <v>53</v>
      </c>
      <c r="H116" t="s">
        <v>53</v>
      </c>
      <c r="I116" t="s">
        <v>380</v>
      </c>
      <c r="J116" t="s">
        <v>55</v>
      </c>
      <c r="K116">
        <v>113</v>
      </c>
      <c r="L116">
        <v>0</v>
      </c>
      <c r="M116">
        <v>113</v>
      </c>
      <c r="N116">
        <v>0</v>
      </c>
      <c r="O116">
        <v>183.07072590000399</v>
      </c>
      <c r="U116">
        <v>5</v>
      </c>
      <c r="V116">
        <v>183.056748700008</v>
      </c>
      <c r="W116">
        <v>183.07072590000399</v>
      </c>
      <c r="X116">
        <v>183.07072590000399</v>
      </c>
      <c r="Y116">
        <v>2.8049100015778001E-2</v>
      </c>
      <c r="Z116">
        <v>184.38037779999999</v>
      </c>
      <c r="AA116" t="s">
        <v>378</v>
      </c>
      <c r="AB116" t="s">
        <v>379</v>
      </c>
      <c r="AC116" t="s">
        <v>52</v>
      </c>
      <c r="AD116" t="s">
        <v>53</v>
      </c>
      <c r="AE116" t="s">
        <v>53</v>
      </c>
      <c r="AF116" t="s">
        <v>380</v>
      </c>
      <c r="AG116" t="s">
        <v>55</v>
      </c>
      <c r="AL116" t="s">
        <v>45</v>
      </c>
      <c r="AM116">
        <v>1</v>
      </c>
      <c r="AN116" t="s">
        <v>46</v>
      </c>
      <c r="AO116" t="s">
        <v>47</v>
      </c>
      <c r="AQ116" t="s">
        <v>48</v>
      </c>
      <c r="AR116">
        <v>60.014499505194401</v>
      </c>
      <c r="AS116" t="s">
        <v>49</v>
      </c>
    </row>
    <row r="117" spans="1:45" x14ac:dyDescent="0.35">
      <c r="A117">
        <v>114</v>
      </c>
      <c r="B117">
        <v>0</v>
      </c>
      <c r="C117">
        <v>114</v>
      </c>
      <c r="D117" t="s">
        <v>381</v>
      </c>
      <c r="E117" t="s">
        <v>382</v>
      </c>
      <c r="F117" t="s">
        <v>52</v>
      </c>
      <c r="G117" t="s">
        <v>53</v>
      </c>
      <c r="H117" t="s">
        <v>53</v>
      </c>
      <c r="I117" t="s">
        <v>383</v>
      </c>
      <c r="J117" t="s">
        <v>55</v>
      </c>
      <c r="K117">
        <v>114</v>
      </c>
      <c r="L117">
        <v>0</v>
      </c>
      <c r="M117">
        <v>114</v>
      </c>
      <c r="N117">
        <v>0</v>
      </c>
      <c r="O117">
        <v>184.41922690000499</v>
      </c>
      <c r="U117">
        <v>5</v>
      </c>
      <c r="V117">
        <v>184.40572390001</v>
      </c>
      <c r="W117">
        <v>184.41922690000499</v>
      </c>
      <c r="X117">
        <v>184.41922690000499</v>
      </c>
      <c r="Y117">
        <v>2.50027000147383E-2</v>
      </c>
      <c r="Z117">
        <v>185.97803950001199</v>
      </c>
      <c r="AA117" t="s">
        <v>381</v>
      </c>
      <c r="AB117" t="s">
        <v>382</v>
      </c>
      <c r="AC117" t="s">
        <v>52</v>
      </c>
      <c r="AD117" t="s">
        <v>53</v>
      </c>
      <c r="AE117" t="s">
        <v>53</v>
      </c>
      <c r="AF117" t="s">
        <v>383</v>
      </c>
      <c r="AG117" t="s">
        <v>55</v>
      </c>
      <c r="AL117" t="s">
        <v>45</v>
      </c>
      <c r="AM117">
        <v>1</v>
      </c>
      <c r="AN117" t="s">
        <v>46</v>
      </c>
      <c r="AO117" t="s">
        <v>47</v>
      </c>
      <c r="AQ117" t="s">
        <v>48</v>
      </c>
      <c r="AR117">
        <v>60.014499505194401</v>
      </c>
      <c r="AS117" t="s">
        <v>49</v>
      </c>
    </row>
    <row r="118" spans="1:45" x14ac:dyDescent="0.35">
      <c r="A118">
        <v>115</v>
      </c>
      <c r="B118">
        <v>0</v>
      </c>
      <c r="C118">
        <v>115</v>
      </c>
      <c r="D118" t="s">
        <v>384</v>
      </c>
      <c r="E118" t="s">
        <v>385</v>
      </c>
      <c r="F118" t="s">
        <v>52</v>
      </c>
      <c r="G118" t="s">
        <v>53</v>
      </c>
      <c r="H118" t="s">
        <v>53</v>
      </c>
      <c r="I118" t="s">
        <v>386</v>
      </c>
      <c r="J118" t="s">
        <v>55</v>
      </c>
      <c r="K118">
        <v>115</v>
      </c>
      <c r="L118">
        <v>0</v>
      </c>
      <c r="M118">
        <v>115</v>
      </c>
      <c r="N118">
        <v>0</v>
      </c>
      <c r="O118">
        <v>186.04536970000399</v>
      </c>
      <c r="U118">
        <v>10</v>
      </c>
      <c r="V118">
        <v>186.02618449999099</v>
      </c>
      <c r="W118">
        <v>186.04536970000399</v>
      </c>
      <c r="X118">
        <v>186.04536970000399</v>
      </c>
      <c r="Y118">
        <v>4.7873700008494703E-2</v>
      </c>
      <c r="Z118">
        <v>187.200908400001</v>
      </c>
      <c r="AA118" t="s">
        <v>384</v>
      </c>
      <c r="AB118" t="s">
        <v>385</v>
      </c>
      <c r="AC118" t="s">
        <v>52</v>
      </c>
      <c r="AD118" t="s">
        <v>53</v>
      </c>
      <c r="AE118" t="s">
        <v>53</v>
      </c>
      <c r="AF118" t="s">
        <v>386</v>
      </c>
      <c r="AG118" t="s">
        <v>55</v>
      </c>
      <c r="AL118" t="s">
        <v>45</v>
      </c>
      <c r="AM118">
        <v>1</v>
      </c>
      <c r="AN118" t="s">
        <v>46</v>
      </c>
      <c r="AO118" t="s">
        <v>47</v>
      </c>
      <c r="AQ118" t="s">
        <v>48</v>
      </c>
      <c r="AR118">
        <v>60.014499505194401</v>
      </c>
      <c r="AS118" t="s">
        <v>49</v>
      </c>
    </row>
    <row r="119" spans="1:45" x14ac:dyDescent="0.35">
      <c r="A119">
        <v>116</v>
      </c>
      <c r="B119">
        <v>0</v>
      </c>
      <c r="C119">
        <v>116</v>
      </c>
      <c r="D119" t="s">
        <v>387</v>
      </c>
      <c r="E119" t="s">
        <v>388</v>
      </c>
      <c r="F119" t="s">
        <v>52</v>
      </c>
      <c r="G119" t="s">
        <v>53</v>
      </c>
      <c r="H119" t="s">
        <v>53</v>
      </c>
      <c r="I119" t="s">
        <v>389</v>
      </c>
      <c r="J119" t="s">
        <v>55</v>
      </c>
      <c r="K119">
        <v>116</v>
      </c>
      <c r="L119">
        <v>0</v>
      </c>
      <c r="M119">
        <v>116</v>
      </c>
      <c r="N119">
        <v>0</v>
      </c>
      <c r="O119">
        <v>187.24006340000699</v>
      </c>
      <c r="U119">
        <v>5</v>
      </c>
      <c r="V119">
        <v>187.228557499998</v>
      </c>
      <c r="W119">
        <v>187.24006340000699</v>
      </c>
      <c r="X119">
        <v>187.24006340000699</v>
      </c>
      <c r="Y119">
        <v>2.7337199979228899E-2</v>
      </c>
      <c r="Z119">
        <v>188.41255259999801</v>
      </c>
      <c r="AA119" t="s">
        <v>387</v>
      </c>
      <c r="AB119" t="s">
        <v>388</v>
      </c>
      <c r="AC119" t="s">
        <v>52</v>
      </c>
      <c r="AD119" t="s">
        <v>53</v>
      </c>
      <c r="AE119" t="s">
        <v>53</v>
      </c>
      <c r="AF119" t="s">
        <v>389</v>
      </c>
      <c r="AG119" t="s">
        <v>55</v>
      </c>
      <c r="AL119" t="s">
        <v>45</v>
      </c>
      <c r="AM119">
        <v>1</v>
      </c>
      <c r="AN119" t="s">
        <v>46</v>
      </c>
      <c r="AO119" t="s">
        <v>47</v>
      </c>
      <c r="AQ119" t="s">
        <v>48</v>
      </c>
      <c r="AR119">
        <v>60.014499505194401</v>
      </c>
      <c r="AS119" t="s">
        <v>49</v>
      </c>
    </row>
    <row r="120" spans="1:45" x14ac:dyDescent="0.35">
      <c r="A120">
        <v>117</v>
      </c>
      <c r="B120">
        <v>0</v>
      </c>
      <c r="C120">
        <v>117</v>
      </c>
      <c r="D120" t="s">
        <v>188</v>
      </c>
      <c r="E120" t="s">
        <v>390</v>
      </c>
      <c r="F120" t="s">
        <v>52</v>
      </c>
      <c r="G120" t="s">
        <v>53</v>
      </c>
      <c r="H120" t="s">
        <v>53</v>
      </c>
      <c r="I120" t="s">
        <v>391</v>
      </c>
      <c r="J120" t="s">
        <v>55</v>
      </c>
      <c r="K120">
        <v>117</v>
      </c>
      <c r="L120">
        <v>0</v>
      </c>
      <c r="M120">
        <v>117</v>
      </c>
      <c r="N120">
        <v>0</v>
      </c>
      <c r="O120">
        <v>188.453423800005</v>
      </c>
      <c r="U120">
        <v>5</v>
      </c>
      <c r="V120">
        <v>188.44191799999601</v>
      </c>
      <c r="W120">
        <v>188.453423800005</v>
      </c>
      <c r="X120">
        <v>188.453423800005</v>
      </c>
      <c r="Y120">
        <v>2.9123999993316801E-2</v>
      </c>
      <c r="Z120">
        <v>189.661009200004</v>
      </c>
      <c r="AA120" t="s">
        <v>188</v>
      </c>
      <c r="AB120" t="s">
        <v>390</v>
      </c>
      <c r="AC120" t="s">
        <v>52</v>
      </c>
      <c r="AD120" t="s">
        <v>53</v>
      </c>
      <c r="AE120" t="s">
        <v>53</v>
      </c>
      <c r="AF120" t="s">
        <v>391</v>
      </c>
      <c r="AG120" t="s">
        <v>55</v>
      </c>
      <c r="AL120" t="s">
        <v>45</v>
      </c>
      <c r="AM120">
        <v>1</v>
      </c>
      <c r="AN120" t="s">
        <v>46</v>
      </c>
      <c r="AO120" t="s">
        <v>47</v>
      </c>
      <c r="AQ120" t="s">
        <v>48</v>
      </c>
      <c r="AR120">
        <v>60.014499505194401</v>
      </c>
      <c r="AS120" t="s">
        <v>49</v>
      </c>
    </row>
    <row r="121" spans="1:45" x14ac:dyDescent="0.35">
      <c r="A121">
        <v>118</v>
      </c>
      <c r="B121">
        <v>0</v>
      </c>
      <c r="C121">
        <v>118</v>
      </c>
      <c r="D121" t="s">
        <v>392</v>
      </c>
      <c r="E121" t="s">
        <v>393</v>
      </c>
      <c r="F121" t="s">
        <v>52</v>
      </c>
      <c r="G121" t="s">
        <v>53</v>
      </c>
      <c r="H121" t="s">
        <v>53</v>
      </c>
      <c r="I121" t="s">
        <v>394</v>
      </c>
      <c r="J121" t="s">
        <v>55</v>
      </c>
      <c r="K121">
        <v>118</v>
      </c>
      <c r="L121">
        <v>0</v>
      </c>
      <c r="M121">
        <v>118</v>
      </c>
      <c r="N121">
        <v>0</v>
      </c>
      <c r="O121">
        <v>189.69379839999601</v>
      </c>
      <c r="U121">
        <v>5</v>
      </c>
      <c r="V121">
        <v>189.683092099992</v>
      </c>
      <c r="W121">
        <v>189.69379839999601</v>
      </c>
      <c r="X121">
        <v>189.69379839999601</v>
      </c>
      <c r="Y121">
        <v>2.1892899996601E-2</v>
      </c>
      <c r="Z121">
        <v>190.96126819998599</v>
      </c>
      <c r="AA121" t="s">
        <v>392</v>
      </c>
      <c r="AB121" t="s">
        <v>393</v>
      </c>
      <c r="AC121" t="s">
        <v>52</v>
      </c>
      <c r="AD121" t="s">
        <v>53</v>
      </c>
      <c r="AE121" t="s">
        <v>53</v>
      </c>
      <c r="AF121" t="s">
        <v>394</v>
      </c>
      <c r="AG121" t="s">
        <v>55</v>
      </c>
      <c r="AL121" t="s">
        <v>45</v>
      </c>
      <c r="AM121">
        <v>1</v>
      </c>
      <c r="AN121" t="s">
        <v>46</v>
      </c>
      <c r="AO121" t="s">
        <v>47</v>
      </c>
      <c r="AQ121" t="s">
        <v>48</v>
      </c>
      <c r="AR121">
        <v>60.014499505194401</v>
      </c>
      <c r="AS121" t="s">
        <v>49</v>
      </c>
    </row>
    <row r="122" spans="1:45" x14ac:dyDescent="0.35">
      <c r="A122">
        <v>119</v>
      </c>
      <c r="B122">
        <v>0</v>
      </c>
      <c r="C122">
        <v>119</v>
      </c>
      <c r="D122" t="s">
        <v>395</v>
      </c>
      <c r="E122" t="s">
        <v>396</v>
      </c>
      <c r="F122" t="s">
        <v>52</v>
      </c>
      <c r="G122" t="s">
        <v>53</v>
      </c>
      <c r="H122" t="s">
        <v>53</v>
      </c>
      <c r="I122" t="s">
        <v>397</v>
      </c>
      <c r="J122" t="s">
        <v>55</v>
      </c>
      <c r="K122">
        <v>119</v>
      </c>
      <c r="L122">
        <v>0</v>
      </c>
      <c r="M122">
        <v>119</v>
      </c>
      <c r="N122">
        <v>0</v>
      </c>
      <c r="O122">
        <v>191.028042799996</v>
      </c>
      <c r="U122">
        <v>10</v>
      </c>
      <c r="V122">
        <v>191.00719000000299</v>
      </c>
      <c r="W122">
        <v>191.028042799996</v>
      </c>
      <c r="X122">
        <v>191.028042799996</v>
      </c>
      <c r="Y122">
        <v>4.5648700004676301E-2</v>
      </c>
      <c r="Z122">
        <v>192.346845099993</v>
      </c>
      <c r="AA122" t="s">
        <v>395</v>
      </c>
      <c r="AB122" t="s">
        <v>396</v>
      </c>
      <c r="AC122" t="s">
        <v>52</v>
      </c>
      <c r="AD122" t="s">
        <v>53</v>
      </c>
      <c r="AE122" t="s">
        <v>53</v>
      </c>
      <c r="AF122" t="s">
        <v>397</v>
      </c>
      <c r="AG122" t="s">
        <v>55</v>
      </c>
      <c r="AL122" t="s">
        <v>45</v>
      </c>
      <c r="AM122">
        <v>1</v>
      </c>
      <c r="AN122" t="s">
        <v>46</v>
      </c>
      <c r="AO122" t="s">
        <v>47</v>
      </c>
      <c r="AQ122" t="s">
        <v>48</v>
      </c>
      <c r="AR122">
        <v>60.014499505194401</v>
      </c>
      <c r="AS122" t="s">
        <v>49</v>
      </c>
    </row>
    <row r="123" spans="1:45" x14ac:dyDescent="0.35">
      <c r="A123">
        <v>120</v>
      </c>
      <c r="B123">
        <v>0</v>
      </c>
      <c r="C123">
        <v>120</v>
      </c>
      <c r="D123" t="s">
        <v>398</v>
      </c>
      <c r="E123" t="s">
        <v>399</v>
      </c>
      <c r="F123" t="s">
        <v>52</v>
      </c>
      <c r="G123" t="s">
        <v>53</v>
      </c>
      <c r="H123" t="s">
        <v>53</v>
      </c>
      <c r="I123" t="s">
        <v>400</v>
      </c>
      <c r="J123" t="s">
        <v>55</v>
      </c>
      <c r="K123">
        <v>120</v>
      </c>
      <c r="L123">
        <v>0</v>
      </c>
      <c r="M123">
        <v>120</v>
      </c>
      <c r="N123">
        <v>0</v>
      </c>
      <c r="O123">
        <v>192.38603630001299</v>
      </c>
      <c r="U123">
        <v>5</v>
      </c>
      <c r="V123">
        <v>192.374479599995</v>
      </c>
      <c r="W123">
        <v>192.38603630001299</v>
      </c>
      <c r="X123">
        <v>192.38603630001299</v>
      </c>
      <c r="Y123">
        <v>2.7686099987477002E-2</v>
      </c>
      <c r="Z123">
        <v>193.597246099991</v>
      </c>
      <c r="AA123" t="s">
        <v>398</v>
      </c>
      <c r="AB123" t="s">
        <v>399</v>
      </c>
      <c r="AC123" t="s">
        <v>52</v>
      </c>
      <c r="AD123" t="s">
        <v>53</v>
      </c>
      <c r="AE123" t="s">
        <v>53</v>
      </c>
      <c r="AF123" t="s">
        <v>400</v>
      </c>
      <c r="AG123" t="s">
        <v>55</v>
      </c>
      <c r="AL123" t="s">
        <v>45</v>
      </c>
      <c r="AM123">
        <v>1</v>
      </c>
      <c r="AN123" t="s">
        <v>46</v>
      </c>
      <c r="AO123" t="s">
        <v>47</v>
      </c>
      <c r="AQ123" t="s">
        <v>48</v>
      </c>
      <c r="AR123">
        <v>60.014499505194401</v>
      </c>
      <c r="AS123" t="s">
        <v>49</v>
      </c>
    </row>
    <row r="124" spans="1:45" x14ac:dyDescent="0.35">
      <c r="A124">
        <v>121</v>
      </c>
      <c r="B124">
        <v>0</v>
      </c>
      <c r="C124">
        <v>121</v>
      </c>
      <c r="D124" t="s">
        <v>401</v>
      </c>
      <c r="E124" t="s">
        <v>402</v>
      </c>
      <c r="F124" t="s">
        <v>52</v>
      </c>
      <c r="G124" t="s">
        <v>53</v>
      </c>
      <c r="H124" t="s">
        <v>53</v>
      </c>
      <c r="I124" t="s">
        <v>403</v>
      </c>
      <c r="J124" t="s">
        <v>55</v>
      </c>
      <c r="K124">
        <v>121</v>
      </c>
      <c r="L124">
        <v>0</v>
      </c>
      <c r="M124">
        <v>121</v>
      </c>
      <c r="N124">
        <v>0</v>
      </c>
      <c r="O124">
        <v>193.65971619999601</v>
      </c>
      <c r="U124">
        <v>10</v>
      </c>
      <c r="V124">
        <v>193.64086929999701</v>
      </c>
      <c r="W124">
        <v>193.65971619999601</v>
      </c>
      <c r="X124">
        <v>193.65971619999601</v>
      </c>
      <c r="Y124">
        <v>4.3427800002973499E-2</v>
      </c>
      <c r="Z124">
        <v>194.910930000012</v>
      </c>
      <c r="AA124" t="s">
        <v>401</v>
      </c>
      <c r="AB124" t="s">
        <v>402</v>
      </c>
      <c r="AC124" t="s">
        <v>52</v>
      </c>
      <c r="AD124" t="s">
        <v>53</v>
      </c>
      <c r="AE124" t="s">
        <v>53</v>
      </c>
      <c r="AF124" t="s">
        <v>403</v>
      </c>
      <c r="AG124" t="s">
        <v>55</v>
      </c>
      <c r="AL124" t="s">
        <v>45</v>
      </c>
      <c r="AM124">
        <v>1</v>
      </c>
      <c r="AN124" t="s">
        <v>46</v>
      </c>
      <c r="AO124" t="s">
        <v>47</v>
      </c>
      <c r="AQ124" t="s">
        <v>48</v>
      </c>
      <c r="AR124">
        <v>60.014499505194401</v>
      </c>
      <c r="AS124" t="s">
        <v>49</v>
      </c>
    </row>
    <row r="125" spans="1:45" x14ac:dyDescent="0.35">
      <c r="A125">
        <v>122</v>
      </c>
      <c r="B125">
        <v>0</v>
      </c>
      <c r="C125">
        <v>122</v>
      </c>
      <c r="D125" t="s">
        <v>404</v>
      </c>
      <c r="E125" t="s">
        <v>405</v>
      </c>
      <c r="F125" t="s">
        <v>52</v>
      </c>
      <c r="G125" t="s">
        <v>53</v>
      </c>
      <c r="H125" t="s">
        <v>53</v>
      </c>
      <c r="I125" t="s">
        <v>406</v>
      </c>
      <c r="J125" t="s">
        <v>55</v>
      </c>
      <c r="K125">
        <v>122</v>
      </c>
      <c r="L125">
        <v>0</v>
      </c>
      <c r="M125">
        <v>122</v>
      </c>
      <c r="N125">
        <v>0</v>
      </c>
      <c r="O125">
        <v>194.94421280000799</v>
      </c>
      <c r="U125">
        <v>5</v>
      </c>
      <c r="V125">
        <v>194.93393289999199</v>
      </c>
      <c r="W125">
        <v>194.94421280000799</v>
      </c>
      <c r="X125">
        <v>194.94421280000799</v>
      </c>
      <c r="Y125">
        <v>2.26356000057421E-2</v>
      </c>
      <c r="Z125">
        <v>196.11302319998501</v>
      </c>
      <c r="AA125" t="s">
        <v>404</v>
      </c>
      <c r="AB125" t="s">
        <v>405</v>
      </c>
      <c r="AC125" t="s">
        <v>52</v>
      </c>
      <c r="AD125" t="s">
        <v>53</v>
      </c>
      <c r="AE125" t="s">
        <v>53</v>
      </c>
      <c r="AF125" t="s">
        <v>406</v>
      </c>
      <c r="AG125" t="s">
        <v>55</v>
      </c>
      <c r="AL125" t="s">
        <v>45</v>
      </c>
      <c r="AM125">
        <v>1</v>
      </c>
      <c r="AN125" t="s">
        <v>46</v>
      </c>
      <c r="AO125" t="s">
        <v>47</v>
      </c>
      <c r="AQ125" t="s">
        <v>48</v>
      </c>
      <c r="AR125">
        <v>60.014499505194401</v>
      </c>
      <c r="AS125" t="s">
        <v>49</v>
      </c>
    </row>
    <row r="126" spans="1:45" x14ac:dyDescent="0.35">
      <c r="A126">
        <v>123</v>
      </c>
      <c r="B126">
        <v>0</v>
      </c>
      <c r="C126">
        <v>123</v>
      </c>
      <c r="D126" t="s">
        <v>407</v>
      </c>
      <c r="E126" t="s">
        <v>408</v>
      </c>
      <c r="F126" t="s">
        <v>52</v>
      </c>
      <c r="G126" t="s">
        <v>53</v>
      </c>
      <c r="H126" t="s">
        <v>53</v>
      </c>
      <c r="I126" t="s">
        <v>409</v>
      </c>
      <c r="J126" t="s">
        <v>55</v>
      </c>
      <c r="K126">
        <v>123</v>
      </c>
      <c r="L126">
        <v>0</v>
      </c>
      <c r="M126">
        <v>123</v>
      </c>
      <c r="N126">
        <v>0</v>
      </c>
      <c r="O126">
        <v>196.14905949999201</v>
      </c>
      <c r="U126">
        <v>5</v>
      </c>
      <c r="V126">
        <v>196.13691130001001</v>
      </c>
      <c r="W126">
        <v>196.14905949999201</v>
      </c>
      <c r="X126">
        <v>196.14905949999201</v>
      </c>
      <c r="Y126">
        <v>2.3706999985734001E-2</v>
      </c>
      <c r="Z126">
        <v>197.34565860001001</v>
      </c>
      <c r="AA126" t="s">
        <v>407</v>
      </c>
      <c r="AB126" t="s">
        <v>408</v>
      </c>
      <c r="AC126" t="s">
        <v>52</v>
      </c>
      <c r="AD126" t="s">
        <v>53</v>
      </c>
      <c r="AE126" t="s">
        <v>53</v>
      </c>
      <c r="AF126" t="s">
        <v>409</v>
      </c>
      <c r="AG126" t="s">
        <v>55</v>
      </c>
      <c r="AL126" t="s">
        <v>45</v>
      </c>
      <c r="AM126">
        <v>1</v>
      </c>
      <c r="AN126" t="s">
        <v>46</v>
      </c>
      <c r="AO126" t="s">
        <v>47</v>
      </c>
      <c r="AQ126" t="s">
        <v>48</v>
      </c>
      <c r="AR126">
        <v>60.014499505194401</v>
      </c>
      <c r="AS126" t="s">
        <v>49</v>
      </c>
    </row>
    <row r="127" spans="1:45" x14ac:dyDescent="0.35">
      <c r="A127">
        <v>124</v>
      </c>
      <c r="B127">
        <v>0</v>
      </c>
      <c r="C127">
        <v>124</v>
      </c>
      <c r="D127" t="s">
        <v>410</v>
      </c>
      <c r="E127" t="s">
        <v>411</v>
      </c>
      <c r="F127" t="s">
        <v>52</v>
      </c>
      <c r="G127" t="s">
        <v>53</v>
      </c>
      <c r="H127" t="s">
        <v>53</v>
      </c>
      <c r="I127" t="s">
        <v>412</v>
      </c>
      <c r="J127" t="s">
        <v>55</v>
      </c>
      <c r="K127">
        <v>124</v>
      </c>
      <c r="L127">
        <v>0</v>
      </c>
      <c r="M127">
        <v>124</v>
      </c>
      <c r="N127">
        <v>0</v>
      </c>
      <c r="O127">
        <v>197.37901370000299</v>
      </c>
      <c r="U127">
        <v>5</v>
      </c>
      <c r="V127">
        <v>197.36774869999499</v>
      </c>
      <c r="W127">
        <v>197.37901370000299</v>
      </c>
      <c r="X127">
        <v>197.37901370000299</v>
      </c>
      <c r="Y127">
        <v>2.1901000000070701E-2</v>
      </c>
      <c r="Z127">
        <v>198.530071899993</v>
      </c>
      <c r="AA127" t="s">
        <v>410</v>
      </c>
      <c r="AB127" t="s">
        <v>411</v>
      </c>
      <c r="AC127" t="s">
        <v>52</v>
      </c>
      <c r="AD127" t="s">
        <v>53</v>
      </c>
      <c r="AE127" t="s">
        <v>53</v>
      </c>
      <c r="AF127" t="s">
        <v>412</v>
      </c>
      <c r="AG127" t="s">
        <v>55</v>
      </c>
      <c r="AL127" t="s">
        <v>45</v>
      </c>
      <c r="AM127">
        <v>1</v>
      </c>
      <c r="AN127" t="s">
        <v>46</v>
      </c>
      <c r="AO127" t="s">
        <v>47</v>
      </c>
      <c r="AQ127" t="s">
        <v>48</v>
      </c>
      <c r="AR127">
        <v>60.014499505194401</v>
      </c>
      <c r="AS127" t="s">
        <v>49</v>
      </c>
    </row>
    <row r="128" spans="1:45" x14ac:dyDescent="0.35">
      <c r="A128">
        <v>125</v>
      </c>
      <c r="B128">
        <v>0</v>
      </c>
      <c r="C128">
        <v>125</v>
      </c>
      <c r="D128" t="s">
        <v>382</v>
      </c>
      <c r="E128" t="s">
        <v>159</v>
      </c>
      <c r="F128" t="s">
        <v>52</v>
      </c>
      <c r="G128" t="s">
        <v>53</v>
      </c>
      <c r="H128" t="s">
        <v>53</v>
      </c>
      <c r="I128" t="s">
        <v>413</v>
      </c>
      <c r="J128" t="s">
        <v>55</v>
      </c>
      <c r="K128">
        <v>125</v>
      </c>
      <c r="L128">
        <v>0</v>
      </c>
      <c r="M128">
        <v>125</v>
      </c>
      <c r="N128">
        <v>0</v>
      </c>
      <c r="O128">
        <v>198.58995920000501</v>
      </c>
      <c r="U128">
        <v>10</v>
      </c>
      <c r="V128">
        <v>198.572726399987</v>
      </c>
      <c r="W128">
        <v>198.58995920000501</v>
      </c>
      <c r="X128">
        <v>198.58995920000501</v>
      </c>
      <c r="Y128">
        <v>4.2475399997783797E-2</v>
      </c>
      <c r="Z128">
        <v>199.79613609999001</v>
      </c>
      <c r="AA128" t="s">
        <v>382</v>
      </c>
      <c r="AB128" t="s">
        <v>159</v>
      </c>
      <c r="AC128" t="s">
        <v>52</v>
      </c>
      <c r="AD128" t="s">
        <v>53</v>
      </c>
      <c r="AE128" t="s">
        <v>53</v>
      </c>
      <c r="AF128" t="s">
        <v>413</v>
      </c>
      <c r="AG128" t="s">
        <v>55</v>
      </c>
      <c r="AL128" t="s">
        <v>45</v>
      </c>
      <c r="AM128">
        <v>1</v>
      </c>
      <c r="AN128" t="s">
        <v>46</v>
      </c>
      <c r="AO128" t="s">
        <v>47</v>
      </c>
      <c r="AQ128" t="s">
        <v>48</v>
      </c>
      <c r="AR128">
        <v>60.014499505194401</v>
      </c>
      <c r="AS128" t="s">
        <v>49</v>
      </c>
    </row>
    <row r="129" spans="1:45" x14ac:dyDescent="0.35">
      <c r="A129">
        <v>126</v>
      </c>
      <c r="B129">
        <v>0</v>
      </c>
      <c r="C129">
        <v>126</v>
      </c>
      <c r="D129" t="s">
        <v>414</v>
      </c>
      <c r="E129" t="s">
        <v>415</v>
      </c>
      <c r="F129" t="s">
        <v>52</v>
      </c>
      <c r="G129" t="s">
        <v>53</v>
      </c>
      <c r="H129" t="s">
        <v>53</v>
      </c>
      <c r="I129" t="s">
        <v>416</v>
      </c>
      <c r="J129" t="s">
        <v>55</v>
      </c>
      <c r="K129">
        <v>126</v>
      </c>
      <c r="L129">
        <v>0</v>
      </c>
      <c r="M129">
        <v>126</v>
      </c>
      <c r="N129">
        <v>0</v>
      </c>
      <c r="O129">
        <v>199.832249300001</v>
      </c>
      <c r="U129">
        <v>5</v>
      </c>
      <c r="V129">
        <v>199.819830099993</v>
      </c>
      <c r="W129">
        <v>199.832249300001</v>
      </c>
      <c r="X129">
        <v>199.832249300001</v>
      </c>
      <c r="Y129">
        <v>2.3457500006770701E-2</v>
      </c>
      <c r="Z129">
        <v>200.84767869999601</v>
      </c>
      <c r="AA129" t="s">
        <v>414</v>
      </c>
      <c r="AB129" t="s">
        <v>415</v>
      </c>
      <c r="AC129" t="s">
        <v>52</v>
      </c>
      <c r="AD129" t="s">
        <v>53</v>
      </c>
      <c r="AE129" t="s">
        <v>53</v>
      </c>
      <c r="AF129" t="s">
        <v>416</v>
      </c>
      <c r="AG129" t="s">
        <v>55</v>
      </c>
      <c r="AL129" t="s">
        <v>45</v>
      </c>
      <c r="AM129">
        <v>1</v>
      </c>
      <c r="AN129" t="s">
        <v>46</v>
      </c>
      <c r="AO129" t="s">
        <v>47</v>
      </c>
      <c r="AQ129" t="s">
        <v>48</v>
      </c>
      <c r="AR129">
        <v>60.014499505194401</v>
      </c>
      <c r="AS129" t="s">
        <v>49</v>
      </c>
    </row>
    <row r="130" spans="1:45" x14ac:dyDescent="0.35">
      <c r="A130">
        <v>127</v>
      </c>
      <c r="B130">
        <v>0</v>
      </c>
      <c r="C130">
        <v>127</v>
      </c>
      <c r="D130" t="s">
        <v>81</v>
      </c>
      <c r="E130" t="s">
        <v>417</v>
      </c>
      <c r="F130" t="s">
        <v>52</v>
      </c>
      <c r="G130" t="s">
        <v>53</v>
      </c>
      <c r="H130" t="s">
        <v>53</v>
      </c>
      <c r="I130" t="s">
        <v>418</v>
      </c>
      <c r="J130" t="s">
        <v>55</v>
      </c>
      <c r="K130">
        <v>127</v>
      </c>
      <c r="L130">
        <v>0</v>
      </c>
      <c r="M130">
        <v>127</v>
      </c>
      <c r="N130">
        <v>0</v>
      </c>
      <c r="O130">
        <v>200.912015400012</v>
      </c>
      <c r="U130">
        <v>10</v>
      </c>
      <c r="V130">
        <v>200.89490650000499</v>
      </c>
      <c r="W130">
        <v>200.912015400012</v>
      </c>
      <c r="X130">
        <v>200.912015400012</v>
      </c>
      <c r="Y130">
        <v>4.7042199992574703E-2</v>
      </c>
      <c r="Z130">
        <v>202.546107900008</v>
      </c>
      <c r="AA130" t="s">
        <v>81</v>
      </c>
      <c r="AB130" t="s">
        <v>417</v>
      </c>
      <c r="AC130" t="s">
        <v>52</v>
      </c>
      <c r="AD130" t="s">
        <v>53</v>
      </c>
      <c r="AE130" t="s">
        <v>53</v>
      </c>
      <c r="AF130" t="s">
        <v>418</v>
      </c>
      <c r="AG130" t="s">
        <v>55</v>
      </c>
      <c r="AL130" t="s">
        <v>45</v>
      </c>
      <c r="AM130">
        <v>1</v>
      </c>
      <c r="AN130" t="s">
        <v>46</v>
      </c>
      <c r="AO130" t="s">
        <v>47</v>
      </c>
      <c r="AQ130" t="s">
        <v>48</v>
      </c>
      <c r="AR130">
        <v>60.014499505194401</v>
      </c>
      <c r="AS130" t="s">
        <v>49</v>
      </c>
    </row>
    <row r="131" spans="1:45" x14ac:dyDescent="0.35">
      <c r="A131">
        <v>128</v>
      </c>
      <c r="B131">
        <v>0</v>
      </c>
      <c r="C131">
        <v>128</v>
      </c>
      <c r="D131" t="s">
        <v>419</v>
      </c>
      <c r="E131" t="s">
        <v>420</v>
      </c>
      <c r="F131" t="s">
        <v>58</v>
      </c>
      <c r="G131" t="s">
        <v>59</v>
      </c>
      <c r="H131" t="s">
        <v>59</v>
      </c>
      <c r="I131" t="s">
        <v>421</v>
      </c>
      <c r="J131" t="s">
        <v>61</v>
      </c>
      <c r="K131">
        <v>128</v>
      </c>
      <c r="L131">
        <v>0</v>
      </c>
      <c r="M131">
        <v>128</v>
      </c>
      <c r="N131">
        <v>0</v>
      </c>
      <c r="O131">
        <v>202.61114449999801</v>
      </c>
      <c r="U131">
        <v>10</v>
      </c>
      <c r="V131">
        <v>202.59227170000599</v>
      </c>
      <c r="W131">
        <v>202.61114449999801</v>
      </c>
      <c r="X131">
        <v>202.61114449999801</v>
      </c>
      <c r="Y131">
        <v>4.5958200003951698E-2</v>
      </c>
      <c r="Z131">
        <v>204.69477040000399</v>
      </c>
      <c r="AA131" t="s">
        <v>419</v>
      </c>
      <c r="AB131" t="s">
        <v>420</v>
      </c>
      <c r="AC131" t="s">
        <v>58</v>
      </c>
      <c r="AD131" t="s">
        <v>59</v>
      </c>
      <c r="AE131" t="s">
        <v>59</v>
      </c>
      <c r="AF131" t="s">
        <v>421</v>
      </c>
      <c r="AG131" t="s">
        <v>61</v>
      </c>
      <c r="AL131" t="s">
        <v>45</v>
      </c>
      <c r="AM131">
        <v>1</v>
      </c>
      <c r="AN131" t="s">
        <v>46</v>
      </c>
      <c r="AO131" t="s">
        <v>47</v>
      </c>
      <c r="AQ131" t="s">
        <v>48</v>
      </c>
      <c r="AR131">
        <v>60.014499505194401</v>
      </c>
      <c r="AS131" t="s">
        <v>49</v>
      </c>
    </row>
    <row r="132" spans="1:45" x14ac:dyDescent="0.35">
      <c r="A132">
        <v>129</v>
      </c>
      <c r="B132">
        <v>0</v>
      </c>
      <c r="C132">
        <v>129</v>
      </c>
      <c r="D132" t="s">
        <v>422</v>
      </c>
      <c r="E132" t="s">
        <v>423</v>
      </c>
      <c r="F132" t="s">
        <v>52</v>
      </c>
      <c r="G132" t="s">
        <v>53</v>
      </c>
      <c r="H132" t="s">
        <v>53</v>
      </c>
      <c r="I132" t="s">
        <v>424</v>
      </c>
      <c r="J132" t="s">
        <v>55</v>
      </c>
      <c r="K132">
        <v>129</v>
      </c>
      <c r="L132">
        <v>0</v>
      </c>
      <c r="M132">
        <v>129</v>
      </c>
      <c r="N132">
        <v>0</v>
      </c>
      <c r="O132">
        <v>204.764396599988</v>
      </c>
      <c r="U132">
        <v>10</v>
      </c>
      <c r="V132">
        <v>204.74005630001099</v>
      </c>
      <c r="W132">
        <v>204.764396599988</v>
      </c>
      <c r="X132">
        <v>204.764396599988</v>
      </c>
      <c r="Y132">
        <v>4.50362999981734E-2</v>
      </c>
      <c r="Z132">
        <v>206.3795179</v>
      </c>
      <c r="AA132" t="s">
        <v>422</v>
      </c>
      <c r="AB132" t="s">
        <v>423</v>
      </c>
      <c r="AC132" t="s">
        <v>52</v>
      </c>
      <c r="AD132" t="s">
        <v>53</v>
      </c>
      <c r="AE132" t="s">
        <v>53</v>
      </c>
      <c r="AF132" t="s">
        <v>424</v>
      </c>
      <c r="AG132" t="s">
        <v>55</v>
      </c>
      <c r="AL132" t="s">
        <v>45</v>
      </c>
      <c r="AM132">
        <v>1</v>
      </c>
      <c r="AN132" t="s">
        <v>46</v>
      </c>
      <c r="AO132" t="s">
        <v>47</v>
      </c>
      <c r="AQ132" t="s">
        <v>48</v>
      </c>
      <c r="AR132">
        <v>60.014499505194401</v>
      </c>
      <c r="AS132" t="s">
        <v>49</v>
      </c>
    </row>
    <row r="133" spans="1:45" x14ac:dyDescent="0.35">
      <c r="A133">
        <v>130</v>
      </c>
      <c r="B133">
        <v>0</v>
      </c>
      <c r="C133">
        <v>130</v>
      </c>
      <c r="D133" t="s">
        <v>425</v>
      </c>
      <c r="E133" t="s">
        <v>426</v>
      </c>
      <c r="F133" t="s">
        <v>52</v>
      </c>
      <c r="G133" t="s">
        <v>53</v>
      </c>
      <c r="H133" t="s">
        <v>53</v>
      </c>
      <c r="I133" t="s">
        <v>427</v>
      </c>
      <c r="J133" t="s">
        <v>55</v>
      </c>
      <c r="K133">
        <v>130</v>
      </c>
      <c r="L133">
        <v>0</v>
      </c>
      <c r="M133">
        <v>130</v>
      </c>
      <c r="N133">
        <v>0</v>
      </c>
      <c r="O133">
        <v>206.45348679999</v>
      </c>
      <c r="U133">
        <v>10</v>
      </c>
      <c r="V133">
        <v>206.42698970000399</v>
      </c>
      <c r="W133">
        <v>206.45348679999</v>
      </c>
      <c r="X133">
        <v>206.45348679999</v>
      </c>
      <c r="Y133">
        <v>4.7274399985326399E-2</v>
      </c>
      <c r="Z133">
        <v>208.03073979998501</v>
      </c>
      <c r="AA133" t="s">
        <v>425</v>
      </c>
      <c r="AB133" t="s">
        <v>426</v>
      </c>
      <c r="AC133" t="s">
        <v>52</v>
      </c>
      <c r="AD133" t="s">
        <v>53</v>
      </c>
      <c r="AE133" t="s">
        <v>53</v>
      </c>
      <c r="AF133" t="s">
        <v>427</v>
      </c>
      <c r="AG133" t="s">
        <v>55</v>
      </c>
      <c r="AL133" t="s">
        <v>45</v>
      </c>
      <c r="AM133">
        <v>1</v>
      </c>
      <c r="AN133" t="s">
        <v>46</v>
      </c>
      <c r="AO133" t="s">
        <v>47</v>
      </c>
      <c r="AQ133" t="s">
        <v>48</v>
      </c>
      <c r="AR133">
        <v>60.014499505194401</v>
      </c>
      <c r="AS133" t="s">
        <v>49</v>
      </c>
    </row>
    <row r="134" spans="1:45" x14ac:dyDescent="0.35">
      <c r="A134">
        <v>131</v>
      </c>
      <c r="B134">
        <v>0</v>
      </c>
      <c r="C134">
        <v>131</v>
      </c>
      <c r="D134" t="s">
        <v>428</v>
      </c>
      <c r="E134" t="s">
        <v>429</v>
      </c>
      <c r="F134" t="s">
        <v>52</v>
      </c>
      <c r="G134" t="s">
        <v>53</v>
      </c>
      <c r="H134" t="s">
        <v>53</v>
      </c>
      <c r="I134" t="s">
        <v>430</v>
      </c>
      <c r="J134" t="s">
        <v>55</v>
      </c>
      <c r="K134">
        <v>131</v>
      </c>
      <c r="L134">
        <v>0</v>
      </c>
      <c r="M134">
        <v>131</v>
      </c>
      <c r="N134">
        <v>0</v>
      </c>
      <c r="O134">
        <v>208.19003890000701</v>
      </c>
      <c r="U134">
        <v>10</v>
      </c>
      <c r="V134">
        <v>208.17235889998801</v>
      </c>
      <c r="W134">
        <v>208.19003890000701</v>
      </c>
      <c r="X134">
        <v>208.19003890000701</v>
      </c>
      <c r="Y134">
        <v>0.14134770000237001</v>
      </c>
      <c r="Z134">
        <v>209.36068959999801</v>
      </c>
      <c r="AA134" t="s">
        <v>428</v>
      </c>
      <c r="AB134" t="s">
        <v>429</v>
      </c>
      <c r="AC134" t="s">
        <v>52</v>
      </c>
      <c r="AD134" t="s">
        <v>53</v>
      </c>
      <c r="AE134" t="s">
        <v>53</v>
      </c>
      <c r="AF134" t="s">
        <v>430</v>
      </c>
      <c r="AG134" t="s">
        <v>55</v>
      </c>
      <c r="AL134" t="s">
        <v>45</v>
      </c>
      <c r="AM134">
        <v>1</v>
      </c>
      <c r="AN134" t="s">
        <v>46</v>
      </c>
      <c r="AO134" t="s">
        <v>47</v>
      </c>
      <c r="AQ134" t="s">
        <v>48</v>
      </c>
      <c r="AR134">
        <v>60.014499505194401</v>
      </c>
      <c r="AS134" t="s">
        <v>49</v>
      </c>
    </row>
    <row r="135" spans="1:45" x14ac:dyDescent="0.35">
      <c r="A135">
        <v>132</v>
      </c>
      <c r="B135">
        <v>0</v>
      </c>
      <c r="C135">
        <v>132</v>
      </c>
      <c r="D135" t="s">
        <v>431</v>
      </c>
      <c r="E135" t="s">
        <v>432</v>
      </c>
      <c r="F135" t="s">
        <v>52</v>
      </c>
      <c r="G135" t="s">
        <v>53</v>
      </c>
      <c r="H135" t="s">
        <v>53</v>
      </c>
      <c r="I135" t="s">
        <v>433</v>
      </c>
      <c r="J135" t="s">
        <v>55</v>
      </c>
      <c r="K135">
        <v>132</v>
      </c>
      <c r="L135">
        <v>0</v>
      </c>
      <c r="M135">
        <v>132</v>
      </c>
      <c r="N135">
        <v>0</v>
      </c>
      <c r="O135">
        <v>209.42726070000199</v>
      </c>
      <c r="U135">
        <v>10</v>
      </c>
      <c r="V135">
        <v>209.40315389999799</v>
      </c>
      <c r="W135">
        <v>209.42726070000199</v>
      </c>
      <c r="X135">
        <v>209.42726070000199</v>
      </c>
      <c r="Y135">
        <v>4.2249099991749903E-2</v>
      </c>
      <c r="Z135">
        <v>210.74797609998399</v>
      </c>
      <c r="AA135" t="s">
        <v>431</v>
      </c>
      <c r="AB135" t="s">
        <v>432</v>
      </c>
      <c r="AC135" t="s">
        <v>52</v>
      </c>
      <c r="AD135" t="s">
        <v>53</v>
      </c>
      <c r="AE135" t="s">
        <v>53</v>
      </c>
      <c r="AF135" t="s">
        <v>433</v>
      </c>
      <c r="AG135" t="s">
        <v>55</v>
      </c>
      <c r="AL135" t="s">
        <v>45</v>
      </c>
      <c r="AM135">
        <v>1</v>
      </c>
      <c r="AN135" t="s">
        <v>46</v>
      </c>
      <c r="AO135" t="s">
        <v>47</v>
      </c>
      <c r="AQ135" t="s">
        <v>48</v>
      </c>
      <c r="AR135">
        <v>60.014499505194401</v>
      </c>
      <c r="AS135" t="s">
        <v>49</v>
      </c>
    </row>
    <row r="136" spans="1:45" x14ac:dyDescent="0.35">
      <c r="A136">
        <v>133</v>
      </c>
      <c r="B136">
        <v>0</v>
      </c>
      <c r="C136">
        <v>133</v>
      </c>
      <c r="D136" t="s">
        <v>434</v>
      </c>
      <c r="E136" t="s">
        <v>140</v>
      </c>
      <c r="F136" t="s">
        <v>52</v>
      </c>
      <c r="G136" t="s">
        <v>53</v>
      </c>
      <c r="H136" t="s">
        <v>53</v>
      </c>
      <c r="I136" t="s">
        <v>435</v>
      </c>
      <c r="J136" t="s">
        <v>55</v>
      </c>
      <c r="K136">
        <v>133</v>
      </c>
      <c r="L136">
        <v>0</v>
      </c>
      <c r="M136">
        <v>133</v>
      </c>
      <c r="N136">
        <v>0</v>
      </c>
      <c r="O136">
        <v>210.785292999993</v>
      </c>
      <c r="U136">
        <v>5</v>
      </c>
      <c r="V136">
        <v>210.77268699998899</v>
      </c>
      <c r="W136">
        <v>210.785292999993</v>
      </c>
      <c r="X136">
        <v>210.785292999993</v>
      </c>
      <c r="Y136">
        <v>2.43478000047616E-2</v>
      </c>
      <c r="Z136">
        <v>212.29424879999701</v>
      </c>
      <c r="AA136" t="s">
        <v>434</v>
      </c>
      <c r="AB136" t="s">
        <v>140</v>
      </c>
      <c r="AC136" t="s">
        <v>52</v>
      </c>
      <c r="AD136" t="s">
        <v>53</v>
      </c>
      <c r="AE136" t="s">
        <v>53</v>
      </c>
      <c r="AF136" t="s">
        <v>435</v>
      </c>
      <c r="AG136" t="s">
        <v>55</v>
      </c>
      <c r="AL136" t="s">
        <v>45</v>
      </c>
      <c r="AM136">
        <v>1</v>
      </c>
      <c r="AN136" t="s">
        <v>46</v>
      </c>
      <c r="AO136" t="s">
        <v>47</v>
      </c>
      <c r="AQ136" t="s">
        <v>48</v>
      </c>
      <c r="AR136">
        <v>60.014499505194401</v>
      </c>
      <c r="AS136" t="s">
        <v>49</v>
      </c>
    </row>
    <row r="137" spans="1:45" x14ac:dyDescent="0.35">
      <c r="A137">
        <v>134</v>
      </c>
      <c r="B137">
        <v>0</v>
      </c>
      <c r="C137">
        <v>134</v>
      </c>
      <c r="D137" t="s">
        <v>436</v>
      </c>
      <c r="E137" t="s">
        <v>437</v>
      </c>
      <c r="F137" t="s">
        <v>52</v>
      </c>
      <c r="G137" t="s">
        <v>53</v>
      </c>
      <c r="H137" t="s">
        <v>53</v>
      </c>
      <c r="I137" t="s">
        <v>438</v>
      </c>
      <c r="J137" t="s">
        <v>55</v>
      </c>
      <c r="K137">
        <v>134</v>
      </c>
      <c r="L137">
        <v>0</v>
      </c>
      <c r="M137">
        <v>134</v>
      </c>
      <c r="N137">
        <v>0</v>
      </c>
      <c r="O137">
        <v>212.32879009999999</v>
      </c>
      <c r="U137">
        <v>5</v>
      </c>
      <c r="V137">
        <v>212.317479399993</v>
      </c>
      <c r="W137">
        <v>212.32879009999999</v>
      </c>
      <c r="X137">
        <v>212.32879009999999</v>
      </c>
      <c r="Y137">
        <v>2.3039399995468501E-2</v>
      </c>
      <c r="Z137">
        <v>213.46471329999599</v>
      </c>
      <c r="AA137" t="s">
        <v>436</v>
      </c>
      <c r="AB137" t="s">
        <v>437</v>
      </c>
      <c r="AC137" t="s">
        <v>52</v>
      </c>
      <c r="AD137" t="s">
        <v>53</v>
      </c>
      <c r="AE137" t="s">
        <v>53</v>
      </c>
      <c r="AF137" t="s">
        <v>438</v>
      </c>
      <c r="AG137" t="s">
        <v>55</v>
      </c>
      <c r="AL137" t="s">
        <v>45</v>
      </c>
      <c r="AM137">
        <v>1</v>
      </c>
      <c r="AN137" t="s">
        <v>46</v>
      </c>
      <c r="AO137" t="s">
        <v>47</v>
      </c>
      <c r="AQ137" t="s">
        <v>48</v>
      </c>
      <c r="AR137">
        <v>60.014499505194401</v>
      </c>
      <c r="AS137" t="s">
        <v>49</v>
      </c>
    </row>
    <row r="138" spans="1:45" x14ac:dyDescent="0.35">
      <c r="A138">
        <v>135</v>
      </c>
      <c r="B138">
        <v>0</v>
      </c>
      <c r="C138">
        <v>135</v>
      </c>
      <c r="D138" t="s">
        <v>303</v>
      </c>
      <c r="E138" t="s">
        <v>439</v>
      </c>
      <c r="F138" t="s">
        <v>52</v>
      </c>
      <c r="G138" t="s">
        <v>53</v>
      </c>
      <c r="H138" t="s">
        <v>53</v>
      </c>
      <c r="I138" t="s">
        <v>440</v>
      </c>
      <c r="J138" t="s">
        <v>55</v>
      </c>
      <c r="K138">
        <v>135</v>
      </c>
      <c r="L138">
        <v>0</v>
      </c>
      <c r="M138">
        <v>135</v>
      </c>
      <c r="N138">
        <v>0</v>
      </c>
      <c r="O138">
        <v>213.499004799989</v>
      </c>
      <c r="U138">
        <v>5</v>
      </c>
      <c r="V138">
        <v>213.48748449998601</v>
      </c>
      <c r="W138">
        <v>213.499004799989</v>
      </c>
      <c r="X138">
        <v>213.499004799989</v>
      </c>
      <c r="Y138">
        <v>2.2550199995748699E-2</v>
      </c>
      <c r="Z138">
        <v>214.91290279998699</v>
      </c>
      <c r="AA138" t="s">
        <v>303</v>
      </c>
      <c r="AB138" t="s">
        <v>439</v>
      </c>
      <c r="AC138" t="s">
        <v>52</v>
      </c>
      <c r="AD138" t="s">
        <v>53</v>
      </c>
      <c r="AE138" t="s">
        <v>53</v>
      </c>
      <c r="AF138" t="s">
        <v>440</v>
      </c>
      <c r="AG138" t="s">
        <v>55</v>
      </c>
      <c r="AL138" t="s">
        <v>45</v>
      </c>
      <c r="AM138">
        <v>1</v>
      </c>
      <c r="AN138" t="s">
        <v>46</v>
      </c>
      <c r="AO138" t="s">
        <v>47</v>
      </c>
      <c r="AQ138" t="s">
        <v>48</v>
      </c>
      <c r="AR138">
        <v>60.014499505194401</v>
      </c>
      <c r="AS138" t="s">
        <v>49</v>
      </c>
    </row>
    <row r="139" spans="1:45" x14ac:dyDescent="0.35">
      <c r="A139">
        <v>136</v>
      </c>
      <c r="B139">
        <v>0</v>
      </c>
      <c r="C139">
        <v>136</v>
      </c>
      <c r="D139" t="s">
        <v>441</v>
      </c>
      <c r="E139" t="s">
        <v>442</v>
      </c>
      <c r="F139" t="s">
        <v>52</v>
      </c>
      <c r="G139" t="s">
        <v>53</v>
      </c>
      <c r="H139" t="s">
        <v>53</v>
      </c>
      <c r="I139" t="s">
        <v>443</v>
      </c>
      <c r="J139" t="s">
        <v>55</v>
      </c>
      <c r="K139">
        <v>136</v>
      </c>
      <c r="L139">
        <v>0</v>
      </c>
      <c r="M139">
        <v>136</v>
      </c>
      <c r="N139">
        <v>0</v>
      </c>
      <c r="O139">
        <v>214.97268249999601</v>
      </c>
      <c r="U139">
        <v>10</v>
      </c>
      <c r="V139">
        <v>214.955532699998</v>
      </c>
      <c r="W139">
        <v>214.97268249999601</v>
      </c>
      <c r="X139">
        <v>214.97268249999601</v>
      </c>
      <c r="Y139">
        <v>4.2450500011909698E-2</v>
      </c>
      <c r="Z139">
        <v>216.913820299989</v>
      </c>
      <c r="AA139" t="s">
        <v>441</v>
      </c>
      <c r="AB139" t="s">
        <v>442</v>
      </c>
      <c r="AC139" t="s">
        <v>52</v>
      </c>
      <c r="AD139" t="s">
        <v>53</v>
      </c>
      <c r="AE139" t="s">
        <v>53</v>
      </c>
      <c r="AF139" t="s">
        <v>443</v>
      </c>
      <c r="AG139" t="s">
        <v>55</v>
      </c>
      <c r="AL139" t="s">
        <v>45</v>
      </c>
      <c r="AM139">
        <v>1</v>
      </c>
      <c r="AN139" t="s">
        <v>46</v>
      </c>
      <c r="AO139" t="s">
        <v>47</v>
      </c>
      <c r="AQ139" t="s">
        <v>48</v>
      </c>
      <c r="AR139">
        <v>60.014499505194401</v>
      </c>
      <c r="AS139" t="s">
        <v>49</v>
      </c>
    </row>
    <row r="140" spans="1:45" x14ac:dyDescent="0.35">
      <c r="A140">
        <v>137</v>
      </c>
      <c r="B140">
        <v>0</v>
      </c>
      <c r="C140">
        <v>137</v>
      </c>
      <c r="D140" t="s">
        <v>357</v>
      </c>
      <c r="E140" t="s">
        <v>158</v>
      </c>
      <c r="F140" t="s">
        <v>52</v>
      </c>
      <c r="G140" t="s">
        <v>53</v>
      </c>
      <c r="H140" t="s">
        <v>53</v>
      </c>
      <c r="I140" t="s">
        <v>444</v>
      </c>
      <c r="J140" t="s">
        <v>55</v>
      </c>
      <c r="K140">
        <v>137</v>
      </c>
      <c r="L140">
        <v>0</v>
      </c>
      <c r="M140">
        <v>137</v>
      </c>
      <c r="N140">
        <v>0</v>
      </c>
      <c r="O140">
        <v>216.94808189998699</v>
      </c>
      <c r="U140">
        <v>5</v>
      </c>
      <c r="V140">
        <v>216.93647600000199</v>
      </c>
      <c r="W140">
        <v>216.94808189998699</v>
      </c>
      <c r="X140">
        <v>216.94808189998699</v>
      </c>
      <c r="Y140">
        <v>2.2374599997419801E-2</v>
      </c>
      <c r="Z140">
        <v>218.21205780000301</v>
      </c>
      <c r="AA140" t="s">
        <v>357</v>
      </c>
      <c r="AB140" t="s">
        <v>158</v>
      </c>
      <c r="AC140" t="s">
        <v>52</v>
      </c>
      <c r="AD140" t="s">
        <v>53</v>
      </c>
      <c r="AE140" t="s">
        <v>53</v>
      </c>
      <c r="AF140" t="s">
        <v>444</v>
      </c>
      <c r="AG140" t="s">
        <v>55</v>
      </c>
      <c r="AL140" t="s">
        <v>45</v>
      </c>
      <c r="AM140">
        <v>1</v>
      </c>
      <c r="AN140" t="s">
        <v>46</v>
      </c>
      <c r="AO140" t="s">
        <v>47</v>
      </c>
      <c r="AQ140" t="s">
        <v>48</v>
      </c>
      <c r="AR140">
        <v>60.014499505194401</v>
      </c>
      <c r="AS140" t="s">
        <v>49</v>
      </c>
    </row>
    <row r="141" spans="1:45" x14ac:dyDescent="0.35">
      <c r="A141">
        <v>138</v>
      </c>
      <c r="B141">
        <v>0</v>
      </c>
      <c r="C141">
        <v>138</v>
      </c>
      <c r="D141" t="s">
        <v>445</v>
      </c>
      <c r="E141" t="s">
        <v>446</v>
      </c>
      <c r="F141" t="s">
        <v>52</v>
      </c>
      <c r="G141" t="s">
        <v>53</v>
      </c>
      <c r="H141" t="s">
        <v>53</v>
      </c>
      <c r="I141" t="s">
        <v>447</v>
      </c>
      <c r="J141" t="s">
        <v>55</v>
      </c>
      <c r="K141">
        <v>138</v>
      </c>
      <c r="L141">
        <v>0</v>
      </c>
      <c r="M141">
        <v>138</v>
      </c>
      <c r="N141">
        <v>0</v>
      </c>
      <c r="O141">
        <v>218.250185100012</v>
      </c>
      <c r="U141">
        <v>5</v>
      </c>
      <c r="V141">
        <v>218.237898699997</v>
      </c>
      <c r="W141">
        <v>218.250185100012</v>
      </c>
      <c r="X141">
        <v>218.250185100012</v>
      </c>
      <c r="Y141">
        <v>2.5653799995779901E-2</v>
      </c>
      <c r="Z141">
        <v>219.578545399999</v>
      </c>
      <c r="AA141" t="s">
        <v>445</v>
      </c>
      <c r="AB141" t="s">
        <v>446</v>
      </c>
      <c r="AC141" t="s">
        <v>52</v>
      </c>
      <c r="AD141" t="s">
        <v>53</v>
      </c>
      <c r="AE141" t="s">
        <v>53</v>
      </c>
      <c r="AF141" t="s">
        <v>447</v>
      </c>
      <c r="AG141" t="s">
        <v>55</v>
      </c>
      <c r="AL141" t="s">
        <v>45</v>
      </c>
      <c r="AM141">
        <v>1</v>
      </c>
      <c r="AN141" t="s">
        <v>46</v>
      </c>
      <c r="AO141" t="s">
        <v>47</v>
      </c>
      <c r="AQ141" t="s">
        <v>48</v>
      </c>
      <c r="AR141">
        <v>60.014499505194401</v>
      </c>
      <c r="AS141" t="s">
        <v>49</v>
      </c>
    </row>
    <row r="142" spans="1:45" x14ac:dyDescent="0.35">
      <c r="A142">
        <v>139</v>
      </c>
      <c r="B142">
        <v>0</v>
      </c>
      <c r="C142">
        <v>139</v>
      </c>
      <c r="D142" t="s">
        <v>448</v>
      </c>
      <c r="E142" t="s">
        <v>449</v>
      </c>
      <c r="F142" t="s">
        <v>52</v>
      </c>
      <c r="G142" t="s">
        <v>53</v>
      </c>
      <c r="H142" t="s">
        <v>53</v>
      </c>
      <c r="I142" t="s">
        <v>450</v>
      </c>
      <c r="J142" t="s">
        <v>55</v>
      </c>
      <c r="K142">
        <v>139</v>
      </c>
      <c r="L142">
        <v>0</v>
      </c>
      <c r="M142">
        <v>139</v>
      </c>
      <c r="N142">
        <v>0</v>
      </c>
      <c r="O142">
        <v>219.64072349999299</v>
      </c>
      <c r="U142">
        <v>10</v>
      </c>
      <c r="V142">
        <v>219.623784499999</v>
      </c>
      <c r="W142">
        <v>219.64072349999299</v>
      </c>
      <c r="X142">
        <v>219.64072349999299</v>
      </c>
      <c r="Y142">
        <v>4.5064000005368102E-2</v>
      </c>
      <c r="Z142">
        <v>221.54680750000901</v>
      </c>
      <c r="AA142" t="s">
        <v>448</v>
      </c>
      <c r="AB142" t="s">
        <v>449</v>
      </c>
      <c r="AC142" t="s">
        <v>52</v>
      </c>
      <c r="AD142" t="s">
        <v>53</v>
      </c>
      <c r="AE142" t="s">
        <v>53</v>
      </c>
      <c r="AF142" t="s">
        <v>450</v>
      </c>
      <c r="AG142" t="s">
        <v>55</v>
      </c>
      <c r="AL142" t="s">
        <v>45</v>
      </c>
      <c r="AM142">
        <v>1</v>
      </c>
      <c r="AN142" t="s">
        <v>46</v>
      </c>
      <c r="AO142" t="s">
        <v>47</v>
      </c>
      <c r="AQ142" t="s">
        <v>48</v>
      </c>
      <c r="AR142">
        <v>60.014499505194401</v>
      </c>
      <c r="AS142" t="s">
        <v>49</v>
      </c>
    </row>
    <row r="143" spans="1:45" x14ac:dyDescent="0.35">
      <c r="A143">
        <v>140</v>
      </c>
      <c r="B143">
        <v>0</v>
      </c>
      <c r="C143">
        <v>140</v>
      </c>
      <c r="D143" t="s">
        <v>451</v>
      </c>
      <c r="E143" t="s">
        <v>452</v>
      </c>
      <c r="F143" t="s">
        <v>52</v>
      </c>
      <c r="G143" t="s">
        <v>53</v>
      </c>
      <c r="H143" t="s">
        <v>53</v>
      </c>
      <c r="I143" t="s">
        <v>453</v>
      </c>
      <c r="J143" t="s">
        <v>55</v>
      </c>
      <c r="K143">
        <v>140</v>
      </c>
      <c r="L143">
        <v>0</v>
      </c>
      <c r="M143">
        <v>140</v>
      </c>
      <c r="N143">
        <v>0</v>
      </c>
      <c r="O143">
        <v>221.610535199986</v>
      </c>
      <c r="U143">
        <v>10</v>
      </c>
      <c r="V143">
        <v>221.59216540001199</v>
      </c>
      <c r="W143">
        <v>221.610535199986</v>
      </c>
      <c r="X143">
        <v>221.610535199986</v>
      </c>
      <c r="Y143">
        <v>4.4962799991480999E-2</v>
      </c>
      <c r="Z143">
        <v>223.09696739999299</v>
      </c>
      <c r="AA143" t="s">
        <v>451</v>
      </c>
      <c r="AB143" t="s">
        <v>452</v>
      </c>
      <c r="AC143" t="s">
        <v>52</v>
      </c>
      <c r="AD143" t="s">
        <v>53</v>
      </c>
      <c r="AE143" t="s">
        <v>53</v>
      </c>
      <c r="AF143" t="s">
        <v>453</v>
      </c>
      <c r="AG143" t="s">
        <v>55</v>
      </c>
      <c r="AL143" t="s">
        <v>45</v>
      </c>
      <c r="AM143">
        <v>1</v>
      </c>
      <c r="AN143" t="s">
        <v>46</v>
      </c>
      <c r="AO143" t="s">
        <v>47</v>
      </c>
      <c r="AQ143" t="s">
        <v>48</v>
      </c>
      <c r="AR143">
        <v>60.014499505194401</v>
      </c>
      <c r="AS143" t="s">
        <v>49</v>
      </c>
    </row>
    <row r="144" spans="1:45" x14ac:dyDescent="0.35">
      <c r="A144">
        <v>141</v>
      </c>
      <c r="B144">
        <v>0</v>
      </c>
      <c r="C144">
        <v>141</v>
      </c>
      <c r="D144" t="s">
        <v>347</v>
      </c>
      <c r="E144" t="s">
        <v>454</v>
      </c>
      <c r="F144" t="s">
        <v>52</v>
      </c>
      <c r="G144" t="s">
        <v>53</v>
      </c>
      <c r="H144" t="s">
        <v>53</v>
      </c>
      <c r="I144" t="s">
        <v>455</v>
      </c>
      <c r="J144" t="s">
        <v>55</v>
      </c>
      <c r="K144">
        <v>141</v>
      </c>
      <c r="L144">
        <v>0</v>
      </c>
      <c r="M144">
        <v>141</v>
      </c>
      <c r="N144">
        <v>0</v>
      </c>
      <c r="O144">
        <v>223.13414129999001</v>
      </c>
      <c r="U144">
        <v>5</v>
      </c>
      <c r="V144">
        <v>223.121692999993</v>
      </c>
      <c r="W144">
        <v>223.13414129999001</v>
      </c>
      <c r="X144">
        <v>223.13414129999001</v>
      </c>
      <c r="Y144">
        <v>2.4501799984136499E-2</v>
      </c>
      <c r="Z144">
        <v>224.42934969998799</v>
      </c>
      <c r="AA144" t="s">
        <v>347</v>
      </c>
      <c r="AB144" t="s">
        <v>454</v>
      </c>
      <c r="AC144" t="s">
        <v>52</v>
      </c>
      <c r="AD144" t="s">
        <v>53</v>
      </c>
      <c r="AE144" t="s">
        <v>53</v>
      </c>
      <c r="AF144" t="s">
        <v>455</v>
      </c>
      <c r="AG144" t="s">
        <v>55</v>
      </c>
      <c r="AL144" t="s">
        <v>45</v>
      </c>
      <c r="AM144">
        <v>1</v>
      </c>
      <c r="AN144" t="s">
        <v>46</v>
      </c>
      <c r="AO144" t="s">
        <v>47</v>
      </c>
      <c r="AQ144" t="s">
        <v>48</v>
      </c>
      <c r="AR144">
        <v>60.014499505194401</v>
      </c>
      <c r="AS144" t="s">
        <v>49</v>
      </c>
    </row>
    <row r="145" spans="1:45" x14ac:dyDescent="0.35">
      <c r="A145">
        <v>142</v>
      </c>
      <c r="B145">
        <v>0</v>
      </c>
      <c r="C145">
        <v>142</v>
      </c>
      <c r="D145" t="s">
        <v>456</v>
      </c>
      <c r="E145" t="s">
        <v>457</v>
      </c>
      <c r="F145" t="s">
        <v>52</v>
      </c>
      <c r="G145" t="s">
        <v>53</v>
      </c>
      <c r="H145" t="s">
        <v>53</v>
      </c>
      <c r="I145" t="s">
        <v>458</v>
      </c>
      <c r="J145" t="s">
        <v>55</v>
      </c>
      <c r="K145">
        <v>142</v>
      </c>
      <c r="L145">
        <v>0</v>
      </c>
      <c r="M145">
        <v>142</v>
      </c>
      <c r="N145">
        <v>0</v>
      </c>
      <c r="O145">
        <v>224.49260970001299</v>
      </c>
      <c r="U145">
        <v>10</v>
      </c>
      <c r="V145">
        <v>224.475525199988</v>
      </c>
      <c r="W145">
        <v>224.49260970001299</v>
      </c>
      <c r="X145">
        <v>224.49260970001299</v>
      </c>
      <c r="Y145">
        <v>4.59224999940488E-2</v>
      </c>
      <c r="Z145">
        <v>225.92684339999599</v>
      </c>
      <c r="AA145" t="s">
        <v>456</v>
      </c>
      <c r="AB145" t="s">
        <v>457</v>
      </c>
      <c r="AC145" t="s">
        <v>52</v>
      </c>
      <c r="AD145" t="s">
        <v>53</v>
      </c>
      <c r="AE145" t="s">
        <v>53</v>
      </c>
      <c r="AF145" t="s">
        <v>458</v>
      </c>
      <c r="AG145" t="s">
        <v>55</v>
      </c>
      <c r="AL145" t="s">
        <v>45</v>
      </c>
      <c r="AM145">
        <v>1</v>
      </c>
      <c r="AN145" t="s">
        <v>46</v>
      </c>
      <c r="AO145" t="s">
        <v>47</v>
      </c>
      <c r="AQ145" t="s">
        <v>48</v>
      </c>
      <c r="AR145">
        <v>60.014499505194401</v>
      </c>
      <c r="AS145" t="s">
        <v>49</v>
      </c>
    </row>
    <row r="146" spans="1:45" x14ac:dyDescent="0.35">
      <c r="A146">
        <v>143</v>
      </c>
      <c r="B146">
        <v>0</v>
      </c>
      <c r="C146">
        <v>143</v>
      </c>
      <c r="D146" t="s">
        <v>459</v>
      </c>
      <c r="E146" t="s">
        <v>460</v>
      </c>
      <c r="F146" t="s">
        <v>52</v>
      </c>
      <c r="G146" t="s">
        <v>53</v>
      </c>
      <c r="H146" t="s">
        <v>53</v>
      </c>
      <c r="I146" t="s">
        <v>461</v>
      </c>
      <c r="J146" t="s">
        <v>55</v>
      </c>
      <c r="K146">
        <v>143</v>
      </c>
      <c r="L146">
        <v>0</v>
      </c>
      <c r="M146">
        <v>143</v>
      </c>
      <c r="N146">
        <v>0</v>
      </c>
      <c r="O146">
        <v>225.96454439998999</v>
      </c>
      <c r="U146">
        <v>5</v>
      </c>
      <c r="V146">
        <v>225.95181790000001</v>
      </c>
      <c r="W146">
        <v>225.96454439998999</v>
      </c>
      <c r="X146">
        <v>225.96454439998999</v>
      </c>
      <c r="Y146">
        <v>2.4747000017669E-2</v>
      </c>
      <c r="Z146">
        <v>227.245836699992</v>
      </c>
      <c r="AA146" t="s">
        <v>459</v>
      </c>
      <c r="AB146" t="s">
        <v>460</v>
      </c>
      <c r="AC146" t="s">
        <v>52</v>
      </c>
      <c r="AD146" t="s">
        <v>53</v>
      </c>
      <c r="AE146" t="s">
        <v>53</v>
      </c>
      <c r="AF146" t="s">
        <v>461</v>
      </c>
      <c r="AG146" t="s">
        <v>55</v>
      </c>
      <c r="AL146" t="s">
        <v>45</v>
      </c>
      <c r="AM146">
        <v>1</v>
      </c>
      <c r="AN146" t="s">
        <v>46</v>
      </c>
      <c r="AO146" t="s">
        <v>47</v>
      </c>
      <c r="AQ146" t="s">
        <v>48</v>
      </c>
      <c r="AR146">
        <v>60.014499505194401</v>
      </c>
      <c r="AS146" t="s">
        <v>49</v>
      </c>
    </row>
    <row r="147" spans="1:45" x14ac:dyDescent="0.35">
      <c r="A147">
        <v>144</v>
      </c>
      <c r="B147">
        <v>0</v>
      </c>
      <c r="C147">
        <v>144</v>
      </c>
      <c r="D147" t="s">
        <v>462</v>
      </c>
      <c r="E147" t="s">
        <v>463</v>
      </c>
      <c r="F147" t="s">
        <v>52</v>
      </c>
      <c r="G147" t="s">
        <v>53</v>
      </c>
      <c r="H147" t="s">
        <v>53</v>
      </c>
      <c r="I147" t="s">
        <v>464</v>
      </c>
      <c r="J147" t="s">
        <v>55</v>
      </c>
      <c r="K147">
        <v>144</v>
      </c>
      <c r="L147">
        <v>0</v>
      </c>
      <c r="M147">
        <v>144</v>
      </c>
      <c r="N147">
        <v>0</v>
      </c>
      <c r="O147">
        <v>227.283016000001</v>
      </c>
      <c r="U147">
        <v>5</v>
      </c>
      <c r="V147">
        <v>227.27128670000801</v>
      </c>
      <c r="W147">
        <v>227.283016000001</v>
      </c>
      <c r="X147">
        <v>227.283016000001</v>
      </c>
      <c r="Y147">
        <v>2.51404000155162E-2</v>
      </c>
      <c r="Z147">
        <v>228.88058259998701</v>
      </c>
      <c r="AA147" t="s">
        <v>462</v>
      </c>
      <c r="AB147" t="s">
        <v>463</v>
      </c>
      <c r="AC147" t="s">
        <v>52</v>
      </c>
      <c r="AD147" t="s">
        <v>53</v>
      </c>
      <c r="AE147" t="s">
        <v>53</v>
      </c>
      <c r="AF147" t="s">
        <v>464</v>
      </c>
      <c r="AG147" t="s">
        <v>55</v>
      </c>
      <c r="AL147" t="s">
        <v>45</v>
      </c>
      <c r="AM147">
        <v>1</v>
      </c>
      <c r="AN147" t="s">
        <v>46</v>
      </c>
      <c r="AO147" t="s">
        <v>47</v>
      </c>
      <c r="AQ147" t="s">
        <v>48</v>
      </c>
      <c r="AR147">
        <v>60.014499505194401</v>
      </c>
      <c r="AS147" t="s">
        <v>49</v>
      </c>
    </row>
    <row r="148" spans="1:45" x14ac:dyDescent="0.35">
      <c r="A148">
        <v>145</v>
      </c>
      <c r="B148">
        <v>0</v>
      </c>
      <c r="C148">
        <v>145</v>
      </c>
      <c r="D148" t="s">
        <v>465</v>
      </c>
      <c r="E148" t="s">
        <v>466</v>
      </c>
      <c r="F148" t="s">
        <v>52</v>
      </c>
      <c r="G148" t="s">
        <v>53</v>
      </c>
      <c r="H148" t="s">
        <v>53</v>
      </c>
      <c r="I148" t="s">
        <v>467</v>
      </c>
      <c r="J148" t="s">
        <v>55</v>
      </c>
      <c r="K148">
        <v>145</v>
      </c>
      <c r="L148">
        <v>0</v>
      </c>
      <c r="M148">
        <v>145</v>
      </c>
      <c r="N148">
        <v>0</v>
      </c>
      <c r="O148">
        <v>228.916598599986</v>
      </c>
      <c r="U148">
        <v>5</v>
      </c>
      <c r="V148">
        <v>228.90399809999499</v>
      </c>
      <c r="W148">
        <v>228.916598599986</v>
      </c>
      <c r="X148">
        <v>228.916598599986</v>
      </c>
      <c r="Y148">
        <v>2.3230899998452501E-2</v>
      </c>
      <c r="Z148">
        <v>230.028431000013</v>
      </c>
      <c r="AA148" t="s">
        <v>465</v>
      </c>
      <c r="AB148" t="s">
        <v>466</v>
      </c>
      <c r="AC148" t="s">
        <v>52</v>
      </c>
      <c r="AD148" t="s">
        <v>53</v>
      </c>
      <c r="AE148" t="s">
        <v>53</v>
      </c>
      <c r="AF148" t="s">
        <v>467</v>
      </c>
      <c r="AG148" t="s">
        <v>55</v>
      </c>
      <c r="AL148" t="s">
        <v>45</v>
      </c>
      <c r="AM148">
        <v>1</v>
      </c>
      <c r="AN148" t="s">
        <v>46</v>
      </c>
      <c r="AO148" t="s">
        <v>47</v>
      </c>
      <c r="AQ148" t="s">
        <v>48</v>
      </c>
      <c r="AR148">
        <v>60.014499505194401</v>
      </c>
      <c r="AS148" t="s">
        <v>49</v>
      </c>
    </row>
    <row r="149" spans="1:45" x14ac:dyDescent="0.35">
      <c r="A149">
        <v>146</v>
      </c>
      <c r="B149">
        <v>0</v>
      </c>
      <c r="C149">
        <v>146</v>
      </c>
      <c r="D149" t="s">
        <v>468</v>
      </c>
      <c r="E149" t="s">
        <v>469</v>
      </c>
      <c r="F149" t="s">
        <v>52</v>
      </c>
      <c r="G149" t="s">
        <v>53</v>
      </c>
      <c r="H149" t="s">
        <v>53</v>
      </c>
      <c r="I149" t="s">
        <v>470</v>
      </c>
      <c r="J149" t="s">
        <v>55</v>
      </c>
      <c r="K149">
        <v>146</v>
      </c>
      <c r="L149">
        <v>0</v>
      </c>
      <c r="M149">
        <v>146</v>
      </c>
      <c r="N149">
        <v>0</v>
      </c>
      <c r="O149">
        <v>230.09136729998801</v>
      </c>
      <c r="U149">
        <v>10</v>
      </c>
      <c r="V149">
        <v>230.07386519998499</v>
      </c>
      <c r="W149">
        <v>230.09136729998801</v>
      </c>
      <c r="X149">
        <v>230.09136729998801</v>
      </c>
      <c r="Y149">
        <v>4.52617999981157E-2</v>
      </c>
      <c r="Z149">
        <v>231.44383229999201</v>
      </c>
      <c r="AA149" t="s">
        <v>468</v>
      </c>
      <c r="AB149" t="s">
        <v>469</v>
      </c>
      <c r="AC149" t="s">
        <v>52</v>
      </c>
      <c r="AD149" t="s">
        <v>53</v>
      </c>
      <c r="AE149" t="s">
        <v>53</v>
      </c>
      <c r="AF149" t="s">
        <v>470</v>
      </c>
      <c r="AG149" t="s">
        <v>55</v>
      </c>
      <c r="AL149" t="s">
        <v>45</v>
      </c>
      <c r="AM149">
        <v>1</v>
      </c>
      <c r="AN149" t="s">
        <v>46</v>
      </c>
      <c r="AO149" t="s">
        <v>47</v>
      </c>
      <c r="AQ149" t="s">
        <v>48</v>
      </c>
      <c r="AR149">
        <v>60.014499505194401</v>
      </c>
      <c r="AS149" t="s">
        <v>49</v>
      </c>
    </row>
    <row r="150" spans="1:45" x14ac:dyDescent="0.35">
      <c r="A150">
        <v>147</v>
      </c>
      <c r="B150">
        <v>0</v>
      </c>
      <c r="C150">
        <v>147</v>
      </c>
      <c r="D150" t="s">
        <v>471</v>
      </c>
      <c r="E150" t="s">
        <v>75</v>
      </c>
      <c r="F150" t="s">
        <v>52</v>
      </c>
      <c r="G150" t="s">
        <v>53</v>
      </c>
      <c r="H150" t="s">
        <v>53</v>
      </c>
      <c r="I150" t="s">
        <v>472</v>
      </c>
      <c r="J150" t="s">
        <v>55</v>
      </c>
      <c r="K150">
        <v>147</v>
      </c>
      <c r="L150">
        <v>0</v>
      </c>
      <c r="M150">
        <v>147</v>
      </c>
      <c r="N150">
        <v>0</v>
      </c>
      <c r="O150">
        <v>231.479454199987</v>
      </c>
      <c r="U150">
        <v>5</v>
      </c>
      <c r="V150">
        <v>231.46793620000199</v>
      </c>
      <c r="W150">
        <v>231.479454199987</v>
      </c>
      <c r="X150">
        <v>231.479454199987</v>
      </c>
      <c r="Y150">
        <v>2.3869500000728201E-2</v>
      </c>
      <c r="Z150">
        <v>232.862136899988</v>
      </c>
      <c r="AA150" t="s">
        <v>471</v>
      </c>
      <c r="AB150" t="s">
        <v>75</v>
      </c>
      <c r="AC150" t="s">
        <v>52</v>
      </c>
      <c r="AD150" t="s">
        <v>53</v>
      </c>
      <c r="AE150" t="s">
        <v>53</v>
      </c>
      <c r="AF150" t="s">
        <v>472</v>
      </c>
      <c r="AG150" t="s">
        <v>55</v>
      </c>
      <c r="AL150" t="s">
        <v>45</v>
      </c>
      <c r="AM150">
        <v>1</v>
      </c>
      <c r="AN150" t="s">
        <v>46</v>
      </c>
      <c r="AO150" t="s">
        <v>47</v>
      </c>
      <c r="AQ150" t="s">
        <v>48</v>
      </c>
      <c r="AR150">
        <v>60.014499505194401</v>
      </c>
      <c r="AS150" t="s">
        <v>49</v>
      </c>
    </row>
    <row r="151" spans="1:45" x14ac:dyDescent="0.35">
      <c r="A151">
        <v>148</v>
      </c>
      <c r="B151">
        <v>0</v>
      </c>
      <c r="C151">
        <v>148</v>
      </c>
      <c r="D151" t="s">
        <v>451</v>
      </c>
      <c r="E151" t="s">
        <v>473</v>
      </c>
      <c r="F151" t="s">
        <v>52</v>
      </c>
      <c r="G151" t="s">
        <v>53</v>
      </c>
      <c r="H151" t="s">
        <v>53</v>
      </c>
      <c r="I151" t="s">
        <v>474</v>
      </c>
      <c r="J151" t="s">
        <v>55</v>
      </c>
      <c r="K151">
        <v>148</v>
      </c>
      <c r="L151">
        <v>0</v>
      </c>
      <c r="M151">
        <v>148</v>
      </c>
      <c r="N151">
        <v>0</v>
      </c>
      <c r="O151">
        <v>232.90492780000201</v>
      </c>
      <c r="U151">
        <v>5</v>
      </c>
      <c r="V151">
        <v>232.88952510000601</v>
      </c>
      <c r="W151">
        <v>232.90492780000201</v>
      </c>
      <c r="X151">
        <v>232.90492780000201</v>
      </c>
      <c r="Y151">
        <v>2.71248999924864E-2</v>
      </c>
      <c r="Z151">
        <v>234.16277140000599</v>
      </c>
      <c r="AA151" t="s">
        <v>451</v>
      </c>
      <c r="AB151" t="s">
        <v>473</v>
      </c>
      <c r="AC151" t="s">
        <v>52</v>
      </c>
      <c r="AD151" t="s">
        <v>53</v>
      </c>
      <c r="AE151" t="s">
        <v>53</v>
      </c>
      <c r="AF151" t="s">
        <v>474</v>
      </c>
      <c r="AG151" t="s">
        <v>55</v>
      </c>
      <c r="AL151" t="s">
        <v>45</v>
      </c>
      <c r="AM151">
        <v>1</v>
      </c>
      <c r="AN151" t="s">
        <v>46</v>
      </c>
      <c r="AO151" t="s">
        <v>47</v>
      </c>
      <c r="AQ151" t="s">
        <v>48</v>
      </c>
      <c r="AR151">
        <v>60.014499505194401</v>
      </c>
      <c r="AS151" t="s">
        <v>49</v>
      </c>
    </row>
    <row r="152" spans="1:45" x14ac:dyDescent="0.35">
      <c r="A152">
        <v>149</v>
      </c>
      <c r="B152">
        <v>0</v>
      </c>
      <c r="C152">
        <v>149</v>
      </c>
      <c r="D152" t="s">
        <v>475</v>
      </c>
      <c r="E152" t="s">
        <v>471</v>
      </c>
      <c r="F152" t="s">
        <v>52</v>
      </c>
      <c r="G152" t="s">
        <v>53</v>
      </c>
      <c r="H152" t="s">
        <v>53</v>
      </c>
      <c r="I152" t="s">
        <v>476</v>
      </c>
      <c r="J152" t="s">
        <v>55</v>
      </c>
      <c r="K152">
        <v>149</v>
      </c>
      <c r="L152">
        <v>0</v>
      </c>
      <c r="M152">
        <v>149</v>
      </c>
      <c r="N152">
        <v>0</v>
      </c>
      <c r="O152">
        <v>234.20253589999601</v>
      </c>
      <c r="U152">
        <v>5</v>
      </c>
      <c r="V152">
        <v>234.18992649999501</v>
      </c>
      <c r="W152">
        <v>234.20253589999601</v>
      </c>
      <c r="X152">
        <v>234.20253589999601</v>
      </c>
      <c r="Y152">
        <v>2.68217999837361E-2</v>
      </c>
      <c r="Z152">
        <v>235.32917340000799</v>
      </c>
      <c r="AA152" t="s">
        <v>475</v>
      </c>
      <c r="AB152" t="s">
        <v>471</v>
      </c>
      <c r="AC152" t="s">
        <v>52</v>
      </c>
      <c r="AD152" t="s">
        <v>53</v>
      </c>
      <c r="AE152" t="s">
        <v>53</v>
      </c>
      <c r="AF152" t="s">
        <v>476</v>
      </c>
      <c r="AG152" t="s">
        <v>55</v>
      </c>
      <c r="AL152" t="s">
        <v>45</v>
      </c>
      <c r="AM152">
        <v>1</v>
      </c>
      <c r="AN152" t="s">
        <v>46</v>
      </c>
      <c r="AO152" t="s">
        <v>47</v>
      </c>
      <c r="AQ152" t="s">
        <v>48</v>
      </c>
      <c r="AR152">
        <v>60.014499505194401</v>
      </c>
      <c r="AS152" t="s">
        <v>49</v>
      </c>
    </row>
    <row r="153" spans="1:45" x14ac:dyDescent="0.35">
      <c r="A153">
        <v>150</v>
      </c>
      <c r="B153">
        <v>0</v>
      </c>
      <c r="C153">
        <v>150</v>
      </c>
      <c r="D153" t="s">
        <v>101</v>
      </c>
      <c r="E153" t="s">
        <v>135</v>
      </c>
      <c r="F153" t="s">
        <v>52</v>
      </c>
      <c r="G153" t="s">
        <v>53</v>
      </c>
      <c r="H153" t="s">
        <v>53</v>
      </c>
      <c r="I153" t="s">
        <v>477</v>
      </c>
      <c r="J153" t="s">
        <v>55</v>
      </c>
      <c r="K153">
        <v>150</v>
      </c>
      <c r="L153">
        <v>0</v>
      </c>
      <c r="M153">
        <v>150</v>
      </c>
      <c r="N153">
        <v>0</v>
      </c>
      <c r="O153">
        <v>235.36182590000601</v>
      </c>
      <c r="U153">
        <v>5</v>
      </c>
      <c r="V153">
        <v>235.35082729998899</v>
      </c>
      <c r="W153">
        <v>235.36182590000601</v>
      </c>
      <c r="X153">
        <v>235.36182590000601</v>
      </c>
      <c r="Y153">
        <v>2.1461500000441398E-2</v>
      </c>
      <c r="Z153">
        <v>236.44513800000999</v>
      </c>
      <c r="AA153" t="s">
        <v>101</v>
      </c>
      <c r="AB153" t="s">
        <v>135</v>
      </c>
      <c r="AC153" t="s">
        <v>52</v>
      </c>
      <c r="AD153" t="s">
        <v>53</v>
      </c>
      <c r="AE153" t="s">
        <v>53</v>
      </c>
      <c r="AF153" t="s">
        <v>477</v>
      </c>
      <c r="AG153" t="s">
        <v>55</v>
      </c>
      <c r="AL153" t="s">
        <v>45</v>
      </c>
      <c r="AM153">
        <v>1</v>
      </c>
      <c r="AN153" t="s">
        <v>46</v>
      </c>
      <c r="AO153" t="s">
        <v>47</v>
      </c>
      <c r="AQ153" t="s">
        <v>48</v>
      </c>
      <c r="AR153">
        <v>60.014499505194401</v>
      </c>
      <c r="AS153" t="s">
        <v>49</v>
      </c>
    </row>
    <row r="154" spans="1:45" x14ac:dyDescent="0.35">
      <c r="A154">
        <v>151</v>
      </c>
      <c r="B154">
        <v>0</v>
      </c>
      <c r="C154">
        <v>151</v>
      </c>
      <c r="D154" t="s">
        <v>478</v>
      </c>
      <c r="E154" t="s">
        <v>479</v>
      </c>
      <c r="F154" t="s">
        <v>58</v>
      </c>
      <c r="G154" t="s">
        <v>59</v>
      </c>
      <c r="H154" t="s">
        <v>59</v>
      </c>
      <c r="I154" t="s">
        <v>480</v>
      </c>
      <c r="J154" t="s">
        <v>61</v>
      </c>
      <c r="K154">
        <v>151</v>
      </c>
      <c r="L154">
        <v>0</v>
      </c>
      <c r="M154">
        <v>151</v>
      </c>
      <c r="N154">
        <v>0</v>
      </c>
      <c r="O154">
        <v>236.48384530001201</v>
      </c>
      <c r="U154">
        <v>5</v>
      </c>
      <c r="V154">
        <v>236.473261999984</v>
      </c>
      <c r="W154">
        <v>236.48384530001201</v>
      </c>
      <c r="X154">
        <v>236.48384530001201</v>
      </c>
      <c r="Y154">
        <v>2.78589999943505E-2</v>
      </c>
      <c r="Z154">
        <v>238.46289349999199</v>
      </c>
      <c r="AA154" t="s">
        <v>478</v>
      </c>
      <c r="AB154" t="s">
        <v>479</v>
      </c>
      <c r="AC154" t="s">
        <v>58</v>
      </c>
      <c r="AD154" t="s">
        <v>59</v>
      </c>
      <c r="AE154" t="s">
        <v>59</v>
      </c>
      <c r="AF154" t="s">
        <v>480</v>
      </c>
      <c r="AG154" t="s">
        <v>61</v>
      </c>
      <c r="AL154" t="s">
        <v>45</v>
      </c>
      <c r="AM154">
        <v>1</v>
      </c>
      <c r="AN154" t="s">
        <v>46</v>
      </c>
      <c r="AO154" t="s">
        <v>47</v>
      </c>
      <c r="AQ154" t="s">
        <v>48</v>
      </c>
      <c r="AR154">
        <v>60.014499505194401</v>
      </c>
      <c r="AS154" t="s">
        <v>49</v>
      </c>
    </row>
    <row r="155" spans="1:45" x14ac:dyDescent="0.35">
      <c r="A155">
        <v>152</v>
      </c>
      <c r="B155">
        <v>0</v>
      </c>
      <c r="C155">
        <v>152</v>
      </c>
      <c r="D155" t="s">
        <v>481</v>
      </c>
      <c r="E155" t="s">
        <v>392</v>
      </c>
      <c r="F155" t="s">
        <v>52</v>
      </c>
      <c r="G155" t="s">
        <v>53</v>
      </c>
      <c r="H155" t="s">
        <v>53</v>
      </c>
      <c r="I155" t="s">
        <v>482</v>
      </c>
      <c r="J155" t="s">
        <v>55</v>
      </c>
      <c r="K155">
        <v>152</v>
      </c>
      <c r="L155">
        <v>0</v>
      </c>
      <c r="M155">
        <v>152</v>
      </c>
      <c r="N155">
        <v>0</v>
      </c>
      <c r="O155">
        <v>238.529659499996</v>
      </c>
      <c r="U155">
        <v>10</v>
      </c>
      <c r="V155">
        <v>238.51091539999399</v>
      </c>
      <c r="W155">
        <v>238.529659499996</v>
      </c>
      <c r="X155">
        <v>238.529659499996</v>
      </c>
      <c r="Y155">
        <v>4.7736399981658899E-2</v>
      </c>
      <c r="Z155">
        <v>240.69362949999001</v>
      </c>
      <c r="AA155" t="s">
        <v>481</v>
      </c>
      <c r="AB155" t="s">
        <v>392</v>
      </c>
      <c r="AC155" t="s">
        <v>52</v>
      </c>
      <c r="AD155" t="s">
        <v>53</v>
      </c>
      <c r="AE155" t="s">
        <v>53</v>
      </c>
      <c r="AF155" t="s">
        <v>482</v>
      </c>
      <c r="AG155" t="s">
        <v>55</v>
      </c>
      <c r="AL155" t="s">
        <v>45</v>
      </c>
      <c r="AM155">
        <v>1</v>
      </c>
      <c r="AN155" t="s">
        <v>46</v>
      </c>
      <c r="AO155" t="s">
        <v>47</v>
      </c>
      <c r="AQ155" t="s">
        <v>48</v>
      </c>
      <c r="AR155">
        <v>60.014499505194401</v>
      </c>
      <c r="AS155" t="s">
        <v>49</v>
      </c>
    </row>
    <row r="156" spans="1:45" x14ac:dyDescent="0.35">
      <c r="A156">
        <v>153</v>
      </c>
      <c r="B156">
        <v>0</v>
      </c>
      <c r="C156">
        <v>153</v>
      </c>
      <c r="D156" t="s">
        <v>483</v>
      </c>
      <c r="E156" t="s">
        <v>484</v>
      </c>
      <c r="F156" t="s">
        <v>52</v>
      </c>
      <c r="G156" t="s">
        <v>53</v>
      </c>
      <c r="H156" t="s">
        <v>53</v>
      </c>
      <c r="I156" t="s">
        <v>485</v>
      </c>
      <c r="J156" t="s">
        <v>55</v>
      </c>
      <c r="K156">
        <v>153</v>
      </c>
      <c r="L156">
        <v>0</v>
      </c>
      <c r="M156">
        <v>153</v>
      </c>
      <c r="N156">
        <v>0</v>
      </c>
      <c r="O156">
        <v>240.72567429998799</v>
      </c>
      <c r="U156">
        <v>5</v>
      </c>
      <c r="V156">
        <v>240.71526070000201</v>
      </c>
      <c r="W156">
        <v>240.72567429998799</v>
      </c>
      <c r="X156">
        <v>240.72567429998799</v>
      </c>
      <c r="Y156">
        <v>2.1383200015407E-2</v>
      </c>
      <c r="Z156">
        <v>241.86273930000601</v>
      </c>
      <c r="AA156" t="s">
        <v>483</v>
      </c>
      <c r="AB156" t="s">
        <v>484</v>
      </c>
      <c r="AC156" t="s">
        <v>52</v>
      </c>
      <c r="AD156" t="s">
        <v>53</v>
      </c>
      <c r="AE156" t="s">
        <v>53</v>
      </c>
      <c r="AF156" t="s">
        <v>485</v>
      </c>
      <c r="AG156" t="s">
        <v>55</v>
      </c>
      <c r="AL156" t="s">
        <v>45</v>
      </c>
      <c r="AM156">
        <v>1</v>
      </c>
      <c r="AN156" t="s">
        <v>46</v>
      </c>
      <c r="AO156" t="s">
        <v>47</v>
      </c>
      <c r="AQ156" t="s">
        <v>48</v>
      </c>
      <c r="AR156">
        <v>60.014499505194401</v>
      </c>
      <c r="AS156" t="s">
        <v>49</v>
      </c>
    </row>
    <row r="157" spans="1:45" x14ac:dyDescent="0.35">
      <c r="A157">
        <v>154</v>
      </c>
      <c r="B157">
        <v>0</v>
      </c>
      <c r="C157">
        <v>154</v>
      </c>
      <c r="D157" t="s">
        <v>486</v>
      </c>
      <c r="E157" t="s">
        <v>487</v>
      </c>
      <c r="F157" t="s">
        <v>52</v>
      </c>
      <c r="G157" t="s">
        <v>53</v>
      </c>
      <c r="H157" t="s">
        <v>53</v>
      </c>
      <c r="I157" t="s">
        <v>488</v>
      </c>
      <c r="J157" t="s">
        <v>55</v>
      </c>
      <c r="K157">
        <v>154</v>
      </c>
      <c r="L157">
        <v>0</v>
      </c>
      <c r="M157">
        <v>154</v>
      </c>
      <c r="N157">
        <v>0</v>
      </c>
      <c r="O157">
        <v>241.90008789999399</v>
      </c>
      <c r="U157">
        <v>5</v>
      </c>
      <c r="V157">
        <v>241.886811600008</v>
      </c>
      <c r="W157">
        <v>241.90008789999399</v>
      </c>
      <c r="X157">
        <v>241.90008789999399</v>
      </c>
      <c r="Y157">
        <v>2.3893000005045899E-2</v>
      </c>
      <c r="Z157">
        <v>243.24536110000901</v>
      </c>
      <c r="AA157" t="s">
        <v>486</v>
      </c>
      <c r="AB157" t="s">
        <v>487</v>
      </c>
      <c r="AC157" t="s">
        <v>52</v>
      </c>
      <c r="AD157" t="s">
        <v>53</v>
      </c>
      <c r="AE157" t="s">
        <v>53</v>
      </c>
      <c r="AF157" t="s">
        <v>488</v>
      </c>
      <c r="AG157" t="s">
        <v>55</v>
      </c>
      <c r="AL157" t="s">
        <v>45</v>
      </c>
      <c r="AM157">
        <v>1</v>
      </c>
      <c r="AN157" t="s">
        <v>46</v>
      </c>
      <c r="AO157" t="s">
        <v>47</v>
      </c>
      <c r="AQ157" t="s">
        <v>48</v>
      </c>
      <c r="AR157">
        <v>60.014499505194401</v>
      </c>
      <c r="AS157" t="s">
        <v>49</v>
      </c>
    </row>
    <row r="158" spans="1:45" x14ac:dyDescent="0.35">
      <c r="A158">
        <v>155</v>
      </c>
      <c r="B158">
        <v>0</v>
      </c>
      <c r="C158">
        <v>155</v>
      </c>
      <c r="D158" t="s">
        <v>489</v>
      </c>
      <c r="E158" t="s">
        <v>251</v>
      </c>
      <c r="F158" t="s">
        <v>52</v>
      </c>
      <c r="G158" t="s">
        <v>53</v>
      </c>
      <c r="H158" t="s">
        <v>53</v>
      </c>
      <c r="I158" t="s">
        <v>490</v>
      </c>
      <c r="J158" t="s">
        <v>55</v>
      </c>
      <c r="K158">
        <v>155</v>
      </c>
      <c r="L158">
        <v>0</v>
      </c>
      <c r="M158">
        <v>155</v>
      </c>
      <c r="N158">
        <v>0</v>
      </c>
      <c r="O158">
        <v>243.30665919999501</v>
      </c>
      <c r="U158">
        <v>10</v>
      </c>
      <c r="V158">
        <v>243.28822670000901</v>
      </c>
      <c r="W158">
        <v>243.30665919999501</v>
      </c>
      <c r="X158">
        <v>243.30665919999501</v>
      </c>
      <c r="Y158">
        <v>4.2646099987905403E-2</v>
      </c>
      <c r="Z158">
        <v>244.56210839998599</v>
      </c>
      <c r="AA158" t="s">
        <v>489</v>
      </c>
      <c r="AB158" t="s">
        <v>251</v>
      </c>
      <c r="AC158" t="s">
        <v>52</v>
      </c>
      <c r="AD158" t="s">
        <v>53</v>
      </c>
      <c r="AE158" t="s">
        <v>53</v>
      </c>
      <c r="AF158" t="s">
        <v>490</v>
      </c>
      <c r="AG158" t="s">
        <v>55</v>
      </c>
      <c r="AL158" t="s">
        <v>45</v>
      </c>
      <c r="AM158">
        <v>1</v>
      </c>
      <c r="AN158" t="s">
        <v>46</v>
      </c>
      <c r="AO158" t="s">
        <v>47</v>
      </c>
      <c r="AQ158" t="s">
        <v>48</v>
      </c>
      <c r="AR158">
        <v>60.014499505194401</v>
      </c>
      <c r="AS158" t="s">
        <v>49</v>
      </c>
    </row>
    <row r="159" spans="1:45" x14ac:dyDescent="0.35">
      <c r="A159">
        <v>156</v>
      </c>
      <c r="B159">
        <v>0</v>
      </c>
      <c r="C159">
        <v>156</v>
      </c>
      <c r="D159" t="s">
        <v>491</v>
      </c>
      <c r="E159" t="s">
        <v>492</v>
      </c>
      <c r="F159" t="s">
        <v>52</v>
      </c>
      <c r="G159" t="s">
        <v>53</v>
      </c>
      <c r="H159" t="s">
        <v>53</v>
      </c>
      <c r="I159" t="s">
        <v>493</v>
      </c>
      <c r="J159" t="s">
        <v>55</v>
      </c>
      <c r="K159">
        <v>156</v>
      </c>
      <c r="L159">
        <v>0</v>
      </c>
      <c r="M159">
        <v>156</v>
      </c>
      <c r="N159">
        <v>0</v>
      </c>
      <c r="O159">
        <v>244.62490779999601</v>
      </c>
      <c r="U159">
        <v>10</v>
      </c>
      <c r="V159">
        <v>244.607786899985</v>
      </c>
      <c r="W159">
        <v>244.62490779999601</v>
      </c>
      <c r="X159">
        <v>244.62490779999601</v>
      </c>
      <c r="Y159">
        <v>4.5456799998646602E-2</v>
      </c>
      <c r="Z159">
        <v>245.67949579999501</v>
      </c>
      <c r="AA159" t="s">
        <v>491</v>
      </c>
      <c r="AB159" t="s">
        <v>492</v>
      </c>
      <c r="AC159" t="s">
        <v>52</v>
      </c>
      <c r="AD159" t="s">
        <v>53</v>
      </c>
      <c r="AE159" t="s">
        <v>53</v>
      </c>
      <c r="AF159" t="s">
        <v>493</v>
      </c>
      <c r="AG159" t="s">
        <v>55</v>
      </c>
      <c r="AL159" t="s">
        <v>45</v>
      </c>
      <c r="AM159">
        <v>1</v>
      </c>
      <c r="AN159" t="s">
        <v>46</v>
      </c>
      <c r="AO159" t="s">
        <v>47</v>
      </c>
      <c r="AQ159" t="s">
        <v>48</v>
      </c>
      <c r="AR159">
        <v>60.014499505194401</v>
      </c>
      <c r="AS159" t="s">
        <v>49</v>
      </c>
    </row>
    <row r="160" spans="1:45" x14ac:dyDescent="0.35">
      <c r="A160">
        <v>157</v>
      </c>
      <c r="B160">
        <v>0</v>
      </c>
      <c r="C160">
        <v>157</v>
      </c>
      <c r="D160" t="s">
        <v>494</v>
      </c>
      <c r="E160" t="s">
        <v>495</v>
      </c>
      <c r="F160" t="s">
        <v>52</v>
      </c>
      <c r="G160" t="s">
        <v>53</v>
      </c>
      <c r="H160" t="s">
        <v>53</v>
      </c>
      <c r="I160" t="s">
        <v>496</v>
      </c>
      <c r="J160" t="s">
        <v>55</v>
      </c>
      <c r="K160">
        <v>157</v>
      </c>
      <c r="L160">
        <v>0</v>
      </c>
      <c r="M160">
        <v>157</v>
      </c>
      <c r="N160">
        <v>0</v>
      </c>
      <c r="O160">
        <v>245.719165099988</v>
      </c>
      <c r="U160">
        <v>5</v>
      </c>
      <c r="V160">
        <v>245.70642840000801</v>
      </c>
      <c r="W160">
        <v>245.719165099988</v>
      </c>
      <c r="X160">
        <v>245.719165099988</v>
      </c>
      <c r="Y160">
        <v>2.6611300010699699E-2</v>
      </c>
      <c r="Z160">
        <v>247.54621999998901</v>
      </c>
      <c r="AA160" t="s">
        <v>494</v>
      </c>
      <c r="AB160" t="s">
        <v>495</v>
      </c>
      <c r="AC160" t="s">
        <v>52</v>
      </c>
      <c r="AD160" t="s">
        <v>53</v>
      </c>
      <c r="AE160" t="s">
        <v>53</v>
      </c>
      <c r="AF160" t="s">
        <v>496</v>
      </c>
      <c r="AG160" t="s">
        <v>55</v>
      </c>
      <c r="AL160" t="s">
        <v>45</v>
      </c>
      <c r="AM160">
        <v>1</v>
      </c>
      <c r="AN160" t="s">
        <v>46</v>
      </c>
      <c r="AO160" t="s">
        <v>47</v>
      </c>
      <c r="AQ160" t="s">
        <v>48</v>
      </c>
      <c r="AR160">
        <v>60.014499505194401</v>
      </c>
      <c r="AS160" t="s">
        <v>49</v>
      </c>
    </row>
    <row r="161" spans="1:45" x14ac:dyDescent="0.35">
      <c r="A161">
        <v>158</v>
      </c>
      <c r="B161">
        <v>0</v>
      </c>
      <c r="C161">
        <v>158</v>
      </c>
      <c r="D161" t="s">
        <v>83</v>
      </c>
      <c r="E161" t="s">
        <v>497</v>
      </c>
      <c r="F161" t="s">
        <v>52</v>
      </c>
      <c r="G161" t="s">
        <v>53</v>
      </c>
      <c r="H161" t="s">
        <v>53</v>
      </c>
      <c r="I161" t="s">
        <v>498</v>
      </c>
      <c r="J161" t="s">
        <v>55</v>
      </c>
      <c r="K161">
        <v>158</v>
      </c>
      <c r="L161">
        <v>0</v>
      </c>
      <c r="M161">
        <v>158</v>
      </c>
      <c r="N161">
        <v>0</v>
      </c>
      <c r="O161">
        <v>247.58970360000899</v>
      </c>
      <c r="U161">
        <v>5</v>
      </c>
      <c r="V161">
        <v>247.57531149999701</v>
      </c>
      <c r="W161">
        <v>247.58970360000899</v>
      </c>
      <c r="X161">
        <v>247.58970360000899</v>
      </c>
      <c r="Y161">
        <v>2.8881100006401501E-2</v>
      </c>
      <c r="Z161">
        <v>248.86046220001299</v>
      </c>
      <c r="AA161" t="s">
        <v>83</v>
      </c>
      <c r="AB161" t="s">
        <v>497</v>
      </c>
      <c r="AC161" t="s">
        <v>52</v>
      </c>
      <c r="AD161" t="s">
        <v>53</v>
      </c>
      <c r="AE161" t="s">
        <v>53</v>
      </c>
      <c r="AF161" t="s">
        <v>498</v>
      </c>
      <c r="AG161" t="s">
        <v>55</v>
      </c>
      <c r="AL161" t="s">
        <v>45</v>
      </c>
      <c r="AM161">
        <v>1</v>
      </c>
      <c r="AN161" t="s">
        <v>46</v>
      </c>
      <c r="AO161" t="s">
        <v>47</v>
      </c>
      <c r="AQ161" t="s">
        <v>48</v>
      </c>
      <c r="AR161">
        <v>60.014499505194401</v>
      </c>
      <c r="AS161" t="s">
        <v>49</v>
      </c>
    </row>
    <row r="162" spans="1:45" x14ac:dyDescent="0.35">
      <c r="A162">
        <v>159</v>
      </c>
      <c r="B162">
        <v>0</v>
      </c>
      <c r="C162">
        <v>159</v>
      </c>
      <c r="D162" t="s">
        <v>499</v>
      </c>
      <c r="E162" t="s">
        <v>500</v>
      </c>
      <c r="F162" t="s">
        <v>52</v>
      </c>
      <c r="G162" t="s">
        <v>53</v>
      </c>
      <c r="H162" t="s">
        <v>53</v>
      </c>
      <c r="I162" t="s">
        <v>501</v>
      </c>
      <c r="J162" t="s">
        <v>55</v>
      </c>
      <c r="K162">
        <v>159</v>
      </c>
      <c r="L162">
        <v>0</v>
      </c>
      <c r="M162">
        <v>159</v>
      </c>
      <c r="N162">
        <v>0</v>
      </c>
      <c r="O162">
        <v>248.89659190000299</v>
      </c>
      <c r="U162">
        <v>5</v>
      </c>
      <c r="V162">
        <v>248.88443000000501</v>
      </c>
      <c r="W162">
        <v>248.89659190000299</v>
      </c>
      <c r="X162">
        <v>248.89659190000299</v>
      </c>
      <c r="Y162">
        <v>2.37060000072233E-2</v>
      </c>
      <c r="Z162">
        <v>250.345844499999</v>
      </c>
      <c r="AA162" t="s">
        <v>499</v>
      </c>
      <c r="AB162" t="s">
        <v>500</v>
      </c>
      <c r="AC162" t="s">
        <v>52</v>
      </c>
      <c r="AD162" t="s">
        <v>53</v>
      </c>
      <c r="AE162" t="s">
        <v>53</v>
      </c>
      <c r="AF162" t="s">
        <v>501</v>
      </c>
      <c r="AG162" t="s">
        <v>55</v>
      </c>
      <c r="AL162" t="s">
        <v>45</v>
      </c>
      <c r="AM162">
        <v>1</v>
      </c>
      <c r="AN162" t="s">
        <v>46</v>
      </c>
      <c r="AO162" t="s">
        <v>47</v>
      </c>
      <c r="AQ162" t="s">
        <v>48</v>
      </c>
      <c r="AR162">
        <v>60.014499505194401</v>
      </c>
      <c r="AS162" t="s">
        <v>49</v>
      </c>
    </row>
    <row r="163" spans="1:45" x14ac:dyDescent="0.35">
      <c r="A163">
        <v>160</v>
      </c>
      <c r="B163">
        <v>0</v>
      </c>
      <c r="C163">
        <v>160</v>
      </c>
      <c r="D163" t="s">
        <v>502</v>
      </c>
      <c r="E163" t="s">
        <v>174</v>
      </c>
      <c r="F163" t="s">
        <v>52</v>
      </c>
      <c r="G163" t="s">
        <v>53</v>
      </c>
      <c r="H163" t="s">
        <v>53</v>
      </c>
      <c r="I163" t="s">
        <v>503</v>
      </c>
      <c r="J163" t="s">
        <v>55</v>
      </c>
      <c r="K163">
        <v>160</v>
      </c>
      <c r="L163">
        <v>0</v>
      </c>
      <c r="M163">
        <v>160</v>
      </c>
      <c r="N163">
        <v>0</v>
      </c>
      <c r="O163">
        <v>250.41281549999201</v>
      </c>
      <c r="U163">
        <v>10</v>
      </c>
      <c r="V163">
        <v>250.39426989998901</v>
      </c>
      <c r="W163">
        <v>250.41281549999201</v>
      </c>
      <c r="X163">
        <v>250.41281549999201</v>
      </c>
      <c r="Y163">
        <v>4.8246099991956698E-2</v>
      </c>
      <c r="Z163">
        <v>252.07918179998501</v>
      </c>
      <c r="AA163" t="s">
        <v>502</v>
      </c>
      <c r="AB163" t="s">
        <v>174</v>
      </c>
      <c r="AC163" t="s">
        <v>52</v>
      </c>
      <c r="AD163" t="s">
        <v>53</v>
      </c>
      <c r="AE163" t="s">
        <v>53</v>
      </c>
      <c r="AF163" t="s">
        <v>503</v>
      </c>
      <c r="AG163" t="s">
        <v>55</v>
      </c>
      <c r="AL163" t="s">
        <v>45</v>
      </c>
      <c r="AM163">
        <v>1</v>
      </c>
      <c r="AN163" t="s">
        <v>46</v>
      </c>
      <c r="AO163" t="s">
        <v>47</v>
      </c>
      <c r="AQ163" t="s">
        <v>48</v>
      </c>
      <c r="AR163">
        <v>60.014499505194401</v>
      </c>
      <c r="AS163" t="s">
        <v>49</v>
      </c>
    </row>
    <row r="164" spans="1:45" x14ac:dyDescent="0.35">
      <c r="A164">
        <v>161</v>
      </c>
      <c r="B164">
        <v>0</v>
      </c>
      <c r="C164">
        <v>161</v>
      </c>
      <c r="D164" t="s">
        <v>504</v>
      </c>
      <c r="E164" t="s">
        <v>505</v>
      </c>
      <c r="F164" t="s">
        <v>58</v>
      </c>
      <c r="G164" t="s">
        <v>59</v>
      </c>
      <c r="H164" t="s">
        <v>59</v>
      </c>
      <c r="I164" t="s">
        <v>506</v>
      </c>
      <c r="J164" t="s">
        <v>61</v>
      </c>
      <c r="K164">
        <v>161</v>
      </c>
      <c r="L164">
        <v>0</v>
      </c>
      <c r="M164">
        <v>161</v>
      </c>
      <c r="N164">
        <v>0</v>
      </c>
      <c r="O164">
        <v>252.15129259999901</v>
      </c>
      <c r="U164">
        <v>10</v>
      </c>
      <c r="V164">
        <v>252.13162430000301</v>
      </c>
      <c r="W164">
        <v>252.15129259999901</v>
      </c>
      <c r="X164">
        <v>252.15129259999901</v>
      </c>
      <c r="Y164">
        <v>5.2136700018309001E-2</v>
      </c>
      <c r="Z164">
        <v>253.51102279999699</v>
      </c>
      <c r="AA164" t="s">
        <v>504</v>
      </c>
      <c r="AB164" t="s">
        <v>505</v>
      </c>
      <c r="AC164" t="s">
        <v>58</v>
      </c>
      <c r="AD164" t="s">
        <v>59</v>
      </c>
      <c r="AE164" t="s">
        <v>59</v>
      </c>
      <c r="AF164" t="s">
        <v>506</v>
      </c>
      <c r="AG164" t="s">
        <v>61</v>
      </c>
      <c r="AL164" t="s">
        <v>45</v>
      </c>
      <c r="AM164">
        <v>1</v>
      </c>
      <c r="AN164" t="s">
        <v>46</v>
      </c>
      <c r="AO164" t="s">
        <v>47</v>
      </c>
      <c r="AQ164" t="s">
        <v>48</v>
      </c>
      <c r="AR164">
        <v>60.014499505194401</v>
      </c>
      <c r="AS164" t="s">
        <v>49</v>
      </c>
    </row>
    <row r="165" spans="1:45" x14ac:dyDescent="0.35">
      <c r="A165">
        <v>162</v>
      </c>
      <c r="B165">
        <v>0</v>
      </c>
      <c r="C165">
        <v>162</v>
      </c>
      <c r="D165" t="s">
        <v>507</v>
      </c>
      <c r="E165" t="s">
        <v>508</v>
      </c>
      <c r="F165" t="s">
        <v>52</v>
      </c>
      <c r="G165" t="s">
        <v>53</v>
      </c>
      <c r="H165" t="s">
        <v>53</v>
      </c>
      <c r="I165" t="s">
        <v>509</v>
      </c>
      <c r="J165" t="s">
        <v>55</v>
      </c>
      <c r="K165">
        <v>162</v>
      </c>
      <c r="L165">
        <v>0</v>
      </c>
      <c r="M165">
        <v>162</v>
      </c>
      <c r="N165">
        <v>0</v>
      </c>
      <c r="O165">
        <v>253.55263260001001</v>
      </c>
      <c r="U165">
        <v>5</v>
      </c>
      <c r="V165">
        <v>253.53922050000901</v>
      </c>
      <c r="W165">
        <v>253.55263260001001</v>
      </c>
      <c r="X165">
        <v>253.55263260001001</v>
      </c>
      <c r="Y165">
        <v>2.7750399982323801E-2</v>
      </c>
      <c r="Z165">
        <v>254.42875669998401</v>
      </c>
      <c r="AA165" t="s">
        <v>507</v>
      </c>
      <c r="AB165" t="s">
        <v>508</v>
      </c>
      <c r="AC165" t="s">
        <v>52</v>
      </c>
      <c r="AD165" t="s">
        <v>53</v>
      </c>
      <c r="AE165" t="s">
        <v>53</v>
      </c>
      <c r="AF165" t="s">
        <v>509</v>
      </c>
      <c r="AG165" t="s">
        <v>55</v>
      </c>
      <c r="AL165" t="s">
        <v>45</v>
      </c>
      <c r="AM165">
        <v>1</v>
      </c>
      <c r="AN165" t="s">
        <v>46</v>
      </c>
      <c r="AO165" t="s">
        <v>47</v>
      </c>
      <c r="AQ165" t="s">
        <v>48</v>
      </c>
      <c r="AR165">
        <v>60.014499505194401</v>
      </c>
      <c r="AS165" t="s">
        <v>49</v>
      </c>
    </row>
    <row r="166" spans="1:45" x14ac:dyDescent="0.35">
      <c r="A166">
        <v>163</v>
      </c>
      <c r="B166">
        <v>0</v>
      </c>
      <c r="C166">
        <v>163</v>
      </c>
      <c r="D166" t="s">
        <v>510</v>
      </c>
      <c r="E166" t="s">
        <v>511</v>
      </c>
      <c r="F166" t="s">
        <v>52</v>
      </c>
      <c r="G166" t="s">
        <v>53</v>
      </c>
      <c r="H166" t="s">
        <v>53</v>
      </c>
      <c r="I166" t="s">
        <v>512</v>
      </c>
      <c r="J166" t="s">
        <v>55</v>
      </c>
      <c r="K166">
        <v>163</v>
      </c>
      <c r="L166">
        <v>0</v>
      </c>
      <c r="M166">
        <v>163</v>
      </c>
      <c r="N166">
        <v>0</v>
      </c>
      <c r="O166">
        <v>254.49996509999599</v>
      </c>
      <c r="U166">
        <v>10</v>
      </c>
      <c r="V166">
        <v>254.480222299986</v>
      </c>
      <c r="W166">
        <v>254.49996509999599</v>
      </c>
      <c r="X166">
        <v>254.49996509999599</v>
      </c>
      <c r="Y166">
        <v>5.1191400008974597E-2</v>
      </c>
      <c r="Z166">
        <v>255.57910219998999</v>
      </c>
      <c r="AA166" t="s">
        <v>510</v>
      </c>
      <c r="AB166" t="s">
        <v>511</v>
      </c>
      <c r="AC166" t="s">
        <v>52</v>
      </c>
      <c r="AD166" t="s">
        <v>53</v>
      </c>
      <c r="AE166" t="s">
        <v>53</v>
      </c>
      <c r="AF166" t="s">
        <v>512</v>
      </c>
      <c r="AG166" t="s">
        <v>55</v>
      </c>
      <c r="AL166" t="s">
        <v>45</v>
      </c>
      <c r="AM166">
        <v>1</v>
      </c>
      <c r="AN166" t="s">
        <v>46</v>
      </c>
      <c r="AO166" t="s">
        <v>47</v>
      </c>
      <c r="AQ166" t="s">
        <v>48</v>
      </c>
      <c r="AR166">
        <v>60.014499505194401</v>
      </c>
      <c r="AS166" t="s">
        <v>49</v>
      </c>
    </row>
    <row r="167" spans="1:45" x14ac:dyDescent="0.35">
      <c r="A167">
        <v>164</v>
      </c>
      <c r="B167">
        <v>0</v>
      </c>
      <c r="C167">
        <v>164</v>
      </c>
      <c r="D167" t="s">
        <v>237</v>
      </c>
      <c r="E167" t="s">
        <v>513</v>
      </c>
      <c r="F167" t="s">
        <v>52</v>
      </c>
      <c r="G167" t="s">
        <v>53</v>
      </c>
      <c r="H167" t="s">
        <v>53</v>
      </c>
      <c r="I167" t="s">
        <v>514</v>
      </c>
      <c r="J167" t="s">
        <v>55</v>
      </c>
      <c r="K167">
        <v>164</v>
      </c>
      <c r="L167">
        <v>0</v>
      </c>
      <c r="M167">
        <v>164</v>
      </c>
      <c r="N167">
        <v>0</v>
      </c>
      <c r="O167">
        <v>255.61430340001201</v>
      </c>
      <c r="U167">
        <v>5</v>
      </c>
      <c r="V167">
        <v>255.60291499999499</v>
      </c>
      <c r="W167">
        <v>255.61430340001201</v>
      </c>
      <c r="X167">
        <v>255.61430340001201</v>
      </c>
      <c r="Y167">
        <v>2.3595699982251899E-2</v>
      </c>
      <c r="Z167">
        <v>256.74789870000598</v>
      </c>
      <c r="AA167" t="s">
        <v>237</v>
      </c>
      <c r="AB167" t="s">
        <v>513</v>
      </c>
      <c r="AC167" t="s">
        <v>52</v>
      </c>
      <c r="AD167" t="s">
        <v>53</v>
      </c>
      <c r="AE167" t="s">
        <v>53</v>
      </c>
      <c r="AF167" t="s">
        <v>514</v>
      </c>
      <c r="AG167" t="s">
        <v>55</v>
      </c>
      <c r="AL167" t="s">
        <v>45</v>
      </c>
      <c r="AM167">
        <v>1</v>
      </c>
      <c r="AN167" t="s">
        <v>46</v>
      </c>
      <c r="AO167" t="s">
        <v>47</v>
      </c>
      <c r="AQ167" t="s">
        <v>48</v>
      </c>
      <c r="AR167">
        <v>60.014499505194401</v>
      </c>
      <c r="AS167" t="s">
        <v>49</v>
      </c>
    </row>
    <row r="168" spans="1:45" x14ac:dyDescent="0.35">
      <c r="A168">
        <v>165</v>
      </c>
      <c r="B168">
        <v>0</v>
      </c>
      <c r="C168">
        <v>165</v>
      </c>
      <c r="D168" t="s">
        <v>78</v>
      </c>
      <c r="E168" t="s">
        <v>515</v>
      </c>
      <c r="F168" t="s">
        <v>52</v>
      </c>
      <c r="G168" t="s">
        <v>53</v>
      </c>
      <c r="H168" t="s">
        <v>53</v>
      </c>
      <c r="I168" t="s">
        <v>516</v>
      </c>
      <c r="J168" t="s">
        <v>55</v>
      </c>
      <c r="K168">
        <v>165</v>
      </c>
      <c r="L168">
        <v>0</v>
      </c>
      <c r="M168">
        <v>165</v>
      </c>
      <c r="N168">
        <v>0</v>
      </c>
      <c r="O168">
        <v>256.81627589999698</v>
      </c>
      <c r="U168">
        <v>10</v>
      </c>
      <c r="V168">
        <v>256.79852620000003</v>
      </c>
      <c r="W168">
        <v>256.81627589999698</v>
      </c>
      <c r="X168">
        <v>256.81627589999698</v>
      </c>
      <c r="Y168">
        <v>5.0451899995096E-2</v>
      </c>
      <c r="Z168">
        <v>257.96386960000302</v>
      </c>
      <c r="AA168" t="s">
        <v>78</v>
      </c>
      <c r="AB168" t="s">
        <v>515</v>
      </c>
      <c r="AC168" t="s">
        <v>52</v>
      </c>
      <c r="AD168" t="s">
        <v>53</v>
      </c>
      <c r="AE168" t="s">
        <v>53</v>
      </c>
      <c r="AF168" t="s">
        <v>516</v>
      </c>
      <c r="AG168" t="s">
        <v>55</v>
      </c>
      <c r="AL168" t="s">
        <v>45</v>
      </c>
      <c r="AM168">
        <v>1</v>
      </c>
      <c r="AN168" t="s">
        <v>46</v>
      </c>
      <c r="AO168" t="s">
        <v>47</v>
      </c>
      <c r="AQ168" t="s">
        <v>48</v>
      </c>
      <c r="AR168">
        <v>60.014499505194401</v>
      </c>
      <c r="AS168" t="s">
        <v>49</v>
      </c>
    </row>
    <row r="169" spans="1:45" x14ac:dyDescent="0.35">
      <c r="A169">
        <v>166</v>
      </c>
      <c r="B169">
        <v>0</v>
      </c>
      <c r="C169">
        <v>166</v>
      </c>
      <c r="D169" t="s">
        <v>517</v>
      </c>
      <c r="E169" t="s">
        <v>122</v>
      </c>
      <c r="F169" t="s">
        <v>52</v>
      </c>
      <c r="G169" t="s">
        <v>53</v>
      </c>
      <c r="H169" t="s">
        <v>53</v>
      </c>
      <c r="I169" t="s">
        <v>518</v>
      </c>
      <c r="J169" t="s">
        <v>55</v>
      </c>
      <c r="K169">
        <v>166</v>
      </c>
      <c r="L169">
        <v>0</v>
      </c>
      <c r="M169">
        <v>166</v>
      </c>
      <c r="N169">
        <v>0</v>
      </c>
      <c r="O169">
        <v>258.03454180000699</v>
      </c>
      <c r="U169">
        <v>10</v>
      </c>
      <c r="V169">
        <v>258.01573009998498</v>
      </c>
      <c r="W169">
        <v>258.03454180000699</v>
      </c>
      <c r="X169">
        <v>258.03454180000699</v>
      </c>
      <c r="Y169">
        <v>5.1496299973223303E-2</v>
      </c>
      <c r="Z169">
        <v>259.52737900000602</v>
      </c>
      <c r="AA169" t="s">
        <v>517</v>
      </c>
      <c r="AB169" t="s">
        <v>122</v>
      </c>
      <c r="AC169" t="s">
        <v>52</v>
      </c>
      <c r="AD169" t="s">
        <v>53</v>
      </c>
      <c r="AE169" t="s">
        <v>53</v>
      </c>
      <c r="AF169" t="s">
        <v>518</v>
      </c>
      <c r="AG169" t="s">
        <v>55</v>
      </c>
      <c r="AL169" t="s">
        <v>45</v>
      </c>
      <c r="AM169">
        <v>1</v>
      </c>
      <c r="AN169" t="s">
        <v>46</v>
      </c>
      <c r="AO169" t="s">
        <v>47</v>
      </c>
      <c r="AQ169" t="s">
        <v>48</v>
      </c>
      <c r="AR169">
        <v>60.014499505194401</v>
      </c>
      <c r="AS169" t="s">
        <v>49</v>
      </c>
    </row>
    <row r="170" spans="1:45" x14ac:dyDescent="0.35">
      <c r="A170">
        <v>167</v>
      </c>
      <c r="B170">
        <v>0</v>
      </c>
      <c r="C170">
        <v>167</v>
      </c>
      <c r="D170" t="s">
        <v>519</v>
      </c>
      <c r="E170" t="s">
        <v>131</v>
      </c>
      <c r="F170" t="s">
        <v>52</v>
      </c>
      <c r="G170" t="s">
        <v>53</v>
      </c>
      <c r="H170" t="s">
        <v>53</v>
      </c>
      <c r="I170" t="s">
        <v>520</v>
      </c>
      <c r="J170" t="s">
        <v>55</v>
      </c>
      <c r="K170">
        <v>167</v>
      </c>
      <c r="L170">
        <v>0</v>
      </c>
      <c r="M170">
        <v>167</v>
      </c>
      <c r="N170">
        <v>0</v>
      </c>
      <c r="O170">
        <v>259.56253379999498</v>
      </c>
      <c r="U170">
        <v>5</v>
      </c>
      <c r="V170">
        <v>259.55099310001202</v>
      </c>
      <c r="W170">
        <v>259.56253379999498</v>
      </c>
      <c r="X170">
        <v>259.56253379999498</v>
      </c>
      <c r="Y170">
        <v>2.33041999745182E-2</v>
      </c>
      <c r="Z170">
        <v>260.81276930001297</v>
      </c>
      <c r="AA170" t="s">
        <v>519</v>
      </c>
      <c r="AB170" t="s">
        <v>131</v>
      </c>
      <c r="AC170" t="s">
        <v>52</v>
      </c>
      <c r="AD170" t="s">
        <v>53</v>
      </c>
      <c r="AE170" t="s">
        <v>53</v>
      </c>
      <c r="AF170" t="s">
        <v>520</v>
      </c>
      <c r="AG170" t="s">
        <v>55</v>
      </c>
      <c r="AL170" t="s">
        <v>45</v>
      </c>
      <c r="AM170">
        <v>1</v>
      </c>
      <c r="AN170" t="s">
        <v>46</v>
      </c>
      <c r="AO170" t="s">
        <v>47</v>
      </c>
      <c r="AQ170" t="s">
        <v>48</v>
      </c>
      <c r="AR170">
        <v>60.014499505194401</v>
      </c>
      <c r="AS170" t="s">
        <v>49</v>
      </c>
    </row>
    <row r="171" spans="1:45" x14ac:dyDescent="0.35">
      <c r="A171">
        <v>168</v>
      </c>
      <c r="B171">
        <v>0</v>
      </c>
      <c r="C171">
        <v>168</v>
      </c>
      <c r="D171" t="s">
        <v>439</v>
      </c>
      <c r="E171" t="s">
        <v>521</v>
      </c>
      <c r="F171" t="s">
        <v>52</v>
      </c>
      <c r="G171" t="s">
        <v>53</v>
      </c>
      <c r="H171" t="s">
        <v>53</v>
      </c>
      <c r="I171" t="s">
        <v>522</v>
      </c>
      <c r="J171" t="s">
        <v>55</v>
      </c>
      <c r="K171">
        <v>168</v>
      </c>
      <c r="L171">
        <v>0</v>
      </c>
      <c r="M171">
        <v>168</v>
      </c>
      <c r="N171">
        <v>0</v>
      </c>
      <c r="O171">
        <v>260.85154510001303</v>
      </c>
      <c r="U171">
        <v>5</v>
      </c>
      <c r="V171">
        <v>260.84018729999599</v>
      </c>
      <c r="W171">
        <v>260.85154510001303</v>
      </c>
      <c r="X171">
        <v>260.85154510001303</v>
      </c>
      <c r="Y171">
        <v>2.7162799990037401E-2</v>
      </c>
      <c r="Z171">
        <v>262.26242139999499</v>
      </c>
      <c r="AA171" t="s">
        <v>439</v>
      </c>
      <c r="AB171" t="s">
        <v>521</v>
      </c>
      <c r="AC171" t="s">
        <v>52</v>
      </c>
      <c r="AD171" t="s">
        <v>53</v>
      </c>
      <c r="AE171" t="s">
        <v>53</v>
      </c>
      <c r="AF171" t="s">
        <v>522</v>
      </c>
      <c r="AG171" t="s">
        <v>55</v>
      </c>
      <c r="AL171" t="s">
        <v>45</v>
      </c>
      <c r="AM171">
        <v>1</v>
      </c>
      <c r="AN171" t="s">
        <v>46</v>
      </c>
      <c r="AO171" t="s">
        <v>47</v>
      </c>
      <c r="AQ171" t="s">
        <v>48</v>
      </c>
      <c r="AR171">
        <v>60.014499505194401</v>
      </c>
      <c r="AS171" t="s">
        <v>49</v>
      </c>
    </row>
    <row r="172" spans="1:45" x14ac:dyDescent="0.35">
      <c r="A172">
        <v>169</v>
      </c>
      <c r="B172">
        <v>0</v>
      </c>
      <c r="C172">
        <v>169</v>
      </c>
      <c r="D172" t="s">
        <v>523</v>
      </c>
      <c r="E172" t="s">
        <v>524</v>
      </c>
      <c r="F172" t="s">
        <v>52</v>
      </c>
      <c r="G172" t="s">
        <v>53</v>
      </c>
      <c r="H172" t="s">
        <v>53</v>
      </c>
      <c r="I172" t="s">
        <v>525</v>
      </c>
      <c r="J172" t="s">
        <v>55</v>
      </c>
      <c r="K172">
        <v>169</v>
      </c>
      <c r="L172">
        <v>0</v>
      </c>
      <c r="M172">
        <v>169</v>
      </c>
      <c r="N172">
        <v>0</v>
      </c>
      <c r="O172">
        <v>262.30128620000301</v>
      </c>
      <c r="U172">
        <v>5</v>
      </c>
      <c r="V172">
        <v>262.28981049999101</v>
      </c>
      <c r="W172">
        <v>262.30128620000301</v>
      </c>
      <c r="X172">
        <v>262.30128620000301</v>
      </c>
      <c r="Y172">
        <v>2.7126700006192501E-2</v>
      </c>
      <c r="Z172">
        <v>263.360178400005</v>
      </c>
      <c r="AA172" t="s">
        <v>523</v>
      </c>
      <c r="AB172" t="s">
        <v>524</v>
      </c>
      <c r="AC172" t="s">
        <v>52</v>
      </c>
      <c r="AD172" t="s">
        <v>53</v>
      </c>
      <c r="AE172" t="s">
        <v>53</v>
      </c>
      <c r="AF172" t="s">
        <v>525</v>
      </c>
      <c r="AG172" t="s">
        <v>55</v>
      </c>
      <c r="AL172" t="s">
        <v>45</v>
      </c>
      <c r="AM172">
        <v>1</v>
      </c>
      <c r="AN172" t="s">
        <v>46</v>
      </c>
      <c r="AO172" t="s">
        <v>47</v>
      </c>
      <c r="AQ172" t="s">
        <v>48</v>
      </c>
      <c r="AR172">
        <v>60.014499505194401</v>
      </c>
      <c r="AS172" t="s">
        <v>49</v>
      </c>
    </row>
    <row r="173" spans="1:45" x14ac:dyDescent="0.35">
      <c r="A173">
        <v>170</v>
      </c>
      <c r="B173">
        <v>0</v>
      </c>
      <c r="C173">
        <v>170</v>
      </c>
      <c r="D173" t="s">
        <v>526</v>
      </c>
      <c r="E173" t="s">
        <v>527</v>
      </c>
      <c r="F173" t="s">
        <v>52</v>
      </c>
      <c r="G173" t="s">
        <v>53</v>
      </c>
      <c r="H173" t="s">
        <v>53</v>
      </c>
      <c r="I173" t="s">
        <v>528</v>
      </c>
      <c r="J173" t="s">
        <v>55</v>
      </c>
      <c r="K173">
        <v>170</v>
      </c>
      <c r="L173">
        <v>0</v>
      </c>
      <c r="M173">
        <v>170</v>
      </c>
      <c r="N173">
        <v>0</v>
      </c>
      <c r="O173">
        <v>263.39692759999798</v>
      </c>
      <c r="U173">
        <v>5</v>
      </c>
      <c r="V173">
        <v>263.38488039999999</v>
      </c>
      <c r="W173">
        <v>263.39692759999798</v>
      </c>
      <c r="X173">
        <v>263.39692759999798</v>
      </c>
      <c r="Y173">
        <v>2.4443200003588499E-2</v>
      </c>
      <c r="Z173">
        <v>264.428113200003</v>
      </c>
      <c r="AA173" t="s">
        <v>526</v>
      </c>
      <c r="AB173" t="s">
        <v>527</v>
      </c>
      <c r="AC173" t="s">
        <v>52</v>
      </c>
      <c r="AD173" t="s">
        <v>53</v>
      </c>
      <c r="AE173" t="s">
        <v>53</v>
      </c>
      <c r="AF173" t="s">
        <v>528</v>
      </c>
      <c r="AG173" t="s">
        <v>55</v>
      </c>
      <c r="AL173" t="s">
        <v>45</v>
      </c>
      <c r="AM173">
        <v>1</v>
      </c>
      <c r="AN173" t="s">
        <v>46</v>
      </c>
      <c r="AO173" t="s">
        <v>47</v>
      </c>
      <c r="AQ173" t="s">
        <v>48</v>
      </c>
      <c r="AR173">
        <v>60.014499505194401</v>
      </c>
      <c r="AS173" t="s">
        <v>49</v>
      </c>
    </row>
    <row r="174" spans="1:45" x14ac:dyDescent="0.35">
      <c r="A174">
        <v>171</v>
      </c>
      <c r="B174">
        <v>0</v>
      </c>
      <c r="C174">
        <v>171</v>
      </c>
      <c r="D174" t="s">
        <v>232</v>
      </c>
      <c r="E174" t="s">
        <v>529</v>
      </c>
      <c r="F174" t="s">
        <v>52</v>
      </c>
      <c r="G174" t="s">
        <v>53</v>
      </c>
      <c r="H174" t="s">
        <v>53</v>
      </c>
      <c r="I174" t="s">
        <v>530</v>
      </c>
      <c r="J174" t="s">
        <v>55</v>
      </c>
      <c r="K174">
        <v>171</v>
      </c>
      <c r="L174">
        <v>0</v>
      </c>
      <c r="M174">
        <v>171</v>
      </c>
      <c r="N174">
        <v>0</v>
      </c>
      <c r="O174">
        <v>264.50493729999198</v>
      </c>
      <c r="U174">
        <v>10</v>
      </c>
      <c r="V174">
        <v>264.482321499992</v>
      </c>
      <c r="W174">
        <v>264.50493729999198</v>
      </c>
      <c r="X174">
        <v>264.50493729999198</v>
      </c>
      <c r="Y174">
        <v>5.3925799991702598E-2</v>
      </c>
      <c r="Z174">
        <v>266.46184890001302</v>
      </c>
      <c r="AA174" t="s">
        <v>232</v>
      </c>
      <c r="AB174" t="s">
        <v>529</v>
      </c>
      <c r="AC174" t="s">
        <v>52</v>
      </c>
      <c r="AD174" t="s">
        <v>53</v>
      </c>
      <c r="AE174" t="s">
        <v>53</v>
      </c>
      <c r="AF174" t="s">
        <v>530</v>
      </c>
      <c r="AG174" t="s">
        <v>55</v>
      </c>
      <c r="AL174" t="s">
        <v>45</v>
      </c>
      <c r="AM174">
        <v>1</v>
      </c>
      <c r="AN174" t="s">
        <v>46</v>
      </c>
      <c r="AO174" t="s">
        <v>47</v>
      </c>
      <c r="AQ174" t="s">
        <v>48</v>
      </c>
      <c r="AR174">
        <v>60.014499505194401</v>
      </c>
      <c r="AS174" t="s">
        <v>49</v>
      </c>
    </row>
    <row r="175" spans="1:45" x14ac:dyDescent="0.35">
      <c r="A175">
        <v>172</v>
      </c>
      <c r="B175">
        <v>0</v>
      </c>
      <c r="C175">
        <v>172</v>
      </c>
      <c r="D175" t="s">
        <v>441</v>
      </c>
      <c r="E175" t="s">
        <v>531</v>
      </c>
      <c r="F175" t="s">
        <v>52</v>
      </c>
      <c r="G175" t="s">
        <v>53</v>
      </c>
      <c r="H175" t="s">
        <v>53</v>
      </c>
      <c r="I175" t="s">
        <v>532</v>
      </c>
      <c r="J175" t="s">
        <v>55</v>
      </c>
      <c r="K175">
        <v>172</v>
      </c>
      <c r="L175">
        <v>0</v>
      </c>
      <c r="M175">
        <v>172</v>
      </c>
      <c r="N175">
        <v>0</v>
      </c>
      <c r="O175">
        <v>266.53348849999003</v>
      </c>
      <c r="U175">
        <v>10</v>
      </c>
      <c r="V175">
        <v>266.515273500001</v>
      </c>
      <c r="W175">
        <v>266.53348849999003</v>
      </c>
      <c r="X175">
        <v>266.53348849999003</v>
      </c>
      <c r="Y175">
        <v>5.3113000001758302E-2</v>
      </c>
      <c r="Z175">
        <v>270.64369689999103</v>
      </c>
      <c r="AA175" t="s">
        <v>441</v>
      </c>
      <c r="AB175" t="s">
        <v>531</v>
      </c>
      <c r="AC175" t="s">
        <v>52</v>
      </c>
      <c r="AD175" t="s">
        <v>53</v>
      </c>
      <c r="AE175" t="s">
        <v>53</v>
      </c>
      <c r="AF175" t="s">
        <v>532</v>
      </c>
      <c r="AG175" t="s">
        <v>55</v>
      </c>
      <c r="AL175" t="s">
        <v>45</v>
      </c>
      <c r="AM175">
        <v>1</v>
      </c>
      <c r="AN175" t="s">
        <v>46</v>
      </c>
      <c r="AO175" t="s">
        <v>47</v>
      </c>
      <c r="AQ175" t="s">
        <v>48</v>
      </c>
      <c r="AR175">
        <v>60.014499505194401</v>
      </c>
      <c r="AS175" t="s">
        <v>49</v>
      </c>
    </row>
    <row r="176" spans="1:45" x14ac:dyDescent="0.35">
      <c r="A176">
        <v>173</v>
      </c>
      <c r="B176">
        <v>0</v>
      </c>
      <c r="C176">
        <v>173</v>
      </c>
      <c r="D176" t="s">
        <v>95</v>
      </c>
      <c r="E176" t="s">
        <v>533</v>
      </c>
      <c r="F176" t="s">
        <v>52</v>
      </c>
      <c r="G176" t="s">
        <v>53</v>
      </c>
      <c r="H176" t="s">
        <v>53</v>
      </c>
      <c r="I176" t="s">
        <v>534</v>
      </c>
      <c r="J176" t="s">
        <v>55</v>
      </c>
      <c r="K176">
        <v>173</v>
      </c>
      <c r="L176">
        <v>0</v>
      </c>
      <c r="M176">
        <v>173</v>
      </c>
      <c r="N176">
        <v>0</v>
      </c>
      <c r="O176">
        <v>270.67995940000401</v>
      </c>
      <c r="U176">
        <v>5</v>
      </c>
      <c r="V176">
        <v>270.66823710000602</v>
      </c>
      <c r="W176">
        <v>270.67995940000401</v>
      </c>
      <c r="X176">
        <v>270.67995940000401</v>
      </c>
      <c r="Y176">
        <v>2.4230000009993001E-2</v>
      </c>
      <c r="Z176">
        <v>271.87958179999202</v>
      </c>
      <c r="AA176" t="s">
        <v>95</v>
      </c>
      <c r="AB176" t="s">
        <v>533</v>
      </c>
      <c r="AC176" t="s">
        <v>52</v>
      </c>
      <c r="AD176" t="s">
        <v>53</v>
      </c>
      <c r="AE176" t="s">
        <v>53</v>
      </c>
      <c r="AF176" t="s">
        <v>534</v>
      </c>
      <c r="AG176" t="s">
        <v>55</v>
      </c>
      <c r="AL176" t="s">
        <v>45</v>
      </c>
      <c r="AM176">
        <v>1</v>
      </c>
      <c r="AN176" t="s">
        <v>46</v>
      </c>
      <c r="AO176" t="s">
        <v>47</v>
      </c>
      <c r="AQ176" t="s">
        <v>48</v>
      </c>
      <c r="AR176">
        <v>60.014499505194401</v>
      </c>
      <c r="AS176" t="s">
        <v>49</v>
      </c>
    </row>
    <row r="177" spans="1:45" x14ac:dyDescent="0.35">
      <c r="A177">
        <v>174</v>
      </c>
      <c r="B177">
        <v>0</v>
      </c>
      <c r="C177">
        <v>174</v>
      </c>
      <c r="D177" t="s">
        <v>535</v>
      </c>
      <c r="E177" t="s">
        <v>536</v>
      </c>
      <c r="F177" t="s">
        <v>58</v>
      </c>
      <c r="G177" t="s">
        <v>59</v>
      </c>
      <c r="H177" t="s">
        <v>59</v>
      </c>
      <c r="I177" t="s">
        <v>537</v>
      </c>
      <c r="J177" t="s">
        <v>61</v>
      </c>
      <c r="K177">
        <v>174</v>
      </c>
      <c r="L177">
        <v>0</v>
      </c>
      <c r="M177">
        <v>174</v>
      </c>
      <c r="N177">
        <v>0</v>
      </c>
      <c r="O177">
        <v>271.91885779998802</v>
      </c>
      <c r="U177">
        <v>5</v>
      </c>
      <c r="V177">
        <v>271.90586510000799</v>
      </c>
      <c r="W177">
        <v>271.91885779998802</v>
      </c>
      <c r="X177">
        <v>271.91885779998802</v>
      </c>
      <c r="Y177">
        <v>2.60292000020854E-2</v>
      </c>
      <c r="Z177">
        <v>273.84289140000999</v>
      </c>
      <c r="AA177" t="s">
        <v>535</v>
      </c>
      <c r="AB177" t="s">
        <v>536</v>
      </c>
      <c r="AC177" t="s">
        <v>58</v>
      </c>
      <c r="AD177" t="s">
        <v>59</v>
      </c>
      <c r="AE177" t="s">
        <v>59</v>
      </c>
      <c r="AF177" t="s">
        <v>537</v>
      </c>
      <c r="AG177" t="s">
        <v>61</v>
      </c>
      <c r="AL177" t="s">
        <v>45</v>
      </c>
      <c r="AM177">
        <v>1</v>
      </c>
      <c r="AN177" t="s">
        <v>46</v>
      </c>
      <c r="AO177" t="s">
        <v>47</v>
      </c>
      <c r="AQ177" t="s">
        <v>48</v>
      </c>
      <c r="AR177">
        <v>60.014499505194401</v>
      </c>
      <c r="AS177" t="s">
        <v>49</v>
      </c>
    </row>
    <row r="178" spans="1:45" x14ac:dyDescent="0.35">
      <c r="A178">
        <v>175</v>
      </c>
      <c r="B178">
        <v>0</v>
      </c>
      <c r="C178">
        <v>175</v>
      </c>
      <c r="D178" t="s">
        <v>456</v>
      </c>
      <c r="E178" t="s">
        <v>538</v>
      </c>
      <c r="F178" t="s">
        <v>52</v>
      </c>
      <c r="G178" t="s">
        <v>53</v>
      </c>
      <c r="H178" t="s">
        <v>53</v>
      </c>
      <c r="I178" t="s">
        <v>539</v>
      </c>
      <c r="J178" t="s">
        <v>55</v>
      </c>
      <c r="K178">
        <v>175</v>
      </c>
      <c r="L178">
        <v>0</v>
      </c>
      <c r="M178">
        <v>175</v>
      </c>
      <c r="N178">
        <v>0</v>
      </c>
      <c r="O178">
        <v>273.88366489999999</v>
      </c>
      <c r="U178">
        <v>5</v>
      </c>
      <c r="V178">
        <v>273.87160889999302</v>
      </c>
      <c r="W178">
        <v>273.88366489999999</v>
      </c>
      <c r="X178">
        <v>273.88366489999999</v>
      </c>
      <c r="Y178">
        <v>2.8404500015312799E-2</v>
      </c>
      <c r="Z178">
        <v>275.10994069999998</v>
      </c>
      <c r="AA178" t="s">
        <v>456</v>
      </c>
      <c r="AB178" t="s">
        <v>538</v>
      </c>
      <c r="AC178" t="s">
        <v>52</v>
      </c>
      <c r="AD178" t="s">
        <v>53</v>
      </c>
      <c r="AE178" t="s">
        <v>53</v>
      </c>
      <c r="AF178" t="s">
        <v>539</v>
      </c>
      <c r="AG178" t="s">
        <v>55</v>
      </c>
      <c r="AL178" t="s">
        <v>45</v>
      </c>
      <c r="AM178">
        <v>1</v>
      </c>
      <c r="AN178" t="s">
        <v>46</v>
      </c>
      <c r="AO178" t="s">
        <v>47</v>
      </c>
      <c r="AQ178" t="s">
        <v>48</v>
      </c>
      <c r="AR178">
        <v>60.014499505194401</v>
      </c>
      <c r="AS178" t="s">
        <v>49</v>
      </c>
    </row>
    <row r="179" spans="1:45" x14ac:dyDescent="0.35">
      <c r="A179">
        <v>176</v>
      </c>
      <c r="B179">
        <v>0</v>
      </c>
      <c r="C179">
        <v>176</v>
      </c>
      <c r="D179" t="s">
        <v>540</v>
      </c>
      <c r="E179" t="s">
        <v>459</v>
      </c>
      <c r="F179" t="s">
        <v>52</v>
      </c>
      <c r="G179" t="s">
        <v>53</v>
      </c>
      <c r="H179" t="s">
        <v>53</v>
      </c>
      <c r="I179" t="s">
        <v>541</v>
      </c>
      <c r="J179" t="s">
        <v>55</v>
      </c>
      <c r="K179">
        <v>176</v>
      </c>
      <c r="L179">
        <v>0</v>
      </c>
      <c r="M179">
        <v>176</v>
      </c>
      <c r="N179">
        <v>0</v>
      </c>
      <c r="O179">
        <v>275.14682359999199</v>
      </c>
      <c r="U179">
        <v>5</v>
      </c>
      <c r="V179">
        <v>275.134810799994</v>
      </c>
      <c r="W179">
        <v>275.14682359999199</v>
      </c>
      <c r="X179">
        <v>275.14682359999199</v>
      </c>
      <c r="Y179">
        <v>2.4596000002929899E-2</v>
      </c>
      <c r="Z179">
        <v>276.39480569999398</v>
      </c>
      <c r="AA179" t="s">
        <v>540</v>
      </c>
      <c r="AB179" t="s">
        <v>459</v>
      </c>
      <c r="AC179" t="s">
        <v>52</v>
      </c>
      <c r="AD179" t="s">
        <v>53</v>
      </c>
      <c r="AE179" t="s">
        <v>53</v>
      </c>
      <c r="AF179" t="s">
        <v>541</v>
      </c>
      <c r="AG179" t="s">
        <v>55</v>
      </c>
      <c r="AL179" t="s">
        <v>45</v>
      </c>
      <c r="AM179">
        <v>1</v>
      </c>
      <c r="AN179" t="s">
        <v>46</v>
      </c>
      <c r="AO179" t="s">
        <v>47</v>
      </c>
      <c r="AQ179" t="s">
        <v>48</v>
      </c>
      <c r="AR179">
        <v>60.014499505194401</v>
      </c>
      <c r="AS179" t="s">
        <v>49</v>
      </c>
    </row>
    <row r="180" spans="1:45" x14ac:dyDescent="0.35">
      <c r="A180">
        <v>177</v>
      </c>
      <c r="B180">
        <v>0</v>
      </c>
      <c r="C180">
        <v>177</v>
      </c>
      <c r="D180" t="s">
        <v>542</v>
      </c>
      <c r="E180" t="s">
        <v>543</v>
      </c>
      <c r="F180" t="s">
        <v>52</v>
      </c>
      <c r="G180" t="s">
        <v>53</v>
      </c>
      <c r="H180" t="s">
        <v>53</v>
      </c>
      <c r="I180" t="s">
        <v>544</v>
      </c>
      <c r="J180" t="s">
        <v>55</v>
      </c>
      <c r="K180">
        <v>177</v>
      </c>
      <c r="L180">
        <v>0</v>
      </c>
      <c r="M180">
        <v>177</v>
      </c>
      <c r="N180">
        <v>0</v>
      </c>
      <c r="O180">
        <v>276.42955329999597</v>
      </c>
      <c r="U180">
        <v>5</v>
      </c>
      <c r="V180">
        <v>276.41824629998803</v>
      </c>
      <c r="W180">
        <v>276.42955329999597</v>
      </c>
      <c r="X180">
        <v>276.42955329999597</v>
      </c>
      <c r="Y180">
        <v>2.3267800017492801E-2</v>
      </c>
      <c r="Z180">
        <v>277.51105450000603</v>
      </c>
      <c r="AA180" t="s">
        <v>542</v>
      </c>
      <c r="AB180" t="s">
        <v>543</v>
      </c>
      <c r="AC180" t="s">
        <v>52</v>
      </c>
      <c r="AD180" t="s">
        <v>53</v>
      </c>
      <c r="AE180" t="s">
        <v>53</v>
      </c>
      <c r="AF180" t="s">
        <v>544</v>
      </c>
      <c r="AG180" t="s">
        <v>55</v>
      </c>
      <c r="AL180" t="s">
        <v>45</v>
      </c>
      <c r="AM180">
        <v>1</v>
      </c>
      <c r="AN180" t="s">
        <v>46</v>
      </c>
      <c r="AO180" t="s">
        <v>47</v>
      </c>
      <c r="AQ180" t="s">
        <v>48</v>
      </c>
      <c r="AR180">
        <v>60.014499505194401</v>
      </c>
      <c r="AS180" t="s">
        <v>49</v>
      </c>
    </row>
    <row r="181" spans="1:45" x14ac:dyDescent="0.35">
      <c r="A181">
        <v>178</v>
      </c>
      <c r="B181">
        <v>0</v>
      </c>
      <c r="C181">
        <v>178</v>
      </c>
      <c r="D181" t="s">
        <v>545</v>
      </c>
      <c r="E181" t="s">
        <v>150</v>
      </c>
      <c r="F181" t="s">
        <v>52</v>
      </c>
      <c r="G181" t="s">
        <v>53</v>
      </c>
      <c r="H181" t="s">
        <v>53</v>
      </c>
      <c r="I181" t="s">
        <v>546</v>
      </c>
      <c r="J181" t="s">
        <v>55</v>
      </c>
      <c r="K181">
        <v>178</v>
      </c>
      <c r="L181">
        <v>0</v>
      </c>
      <c r="M181">
        <v>178</v>
      </c>
      <c r="N181">
        <v>0</v>
      </c>
      <c r="O181">
        <v>277.55027119998698</v>
      </c>
      <c r="U181">
        <v>5</v>
      </c>
      <c r="V181">
        <v>277.537951200007</v>
      </c>
      <c r="W181">
        <v>277.55027119998698</v>
      </c>
      <c r="X181">
        <v>277.55027119998698</v>
      </c>
      <c r="Y181">
        <v>2.6611200009938302E-2</v>
      </c>
      <c r="Z181">
        <v>278.77742199998403</v>
      </c>
      <c r="AA181" t="s">
        <v>545</v>
      </c>
      <c r="AB181" t="s">
        <v>150</v>
      </c>
      <c r="AC181" t="s">
        <v>52</v>
      </c>
      <c r="AD181" t="s">
        <v>53</v>
      </c>
      <c r="AE181" t="s">
        <v>53</v>
      </c>
      <c r="AF181" t="s">
        <v>546</v>
      </c>
      <c r="AG181" t="s">
        <v>55</v>
      </c>
      <c r="AL181" t="s">
        <v>45</v>
      </c>
      <c r="AM181">
        <v>1</v>
      </c>
      <c r="AN181" t="s">
        <v>46</v>
      </c>
      <c r="AO181" t="s">
        <v>47</v>
      </c>
      <c r="AQ181" t="s">
        <v>48</v>
      </c>
      <c r="AR181">
        <v>60.014499505194401</v>
      </c>
      <c r="AS181" t="s">
        <v>49</v>
      </c>
    </row>
    <row r="182" spans="1:45" x14ac:dyDescent="0.35">
      <c r="A182">
        <v>179</v>
      </c>
      <c r="B182">
        <v>0</v>
      </c>
      <c r="C182">
        <v>179</v>
      </c>
      <c r="D182" t="s">
        <v>547</v>
      </c>
      <c r="E182" t="s">
        <v>548</v>
      </c>
      <c r="F182" t="s">
        <v>58</v>
      </c>
      <c r="G182" t="s">
        <v>59</v>
      </c>
      <c r="H182" t="s">
        <v>59</v>
      </c>
      <c r="I182" t="s">
        <v>549</v>
      </c>
      <c r="J182" t="s">
        <v>61</v>
      </c>
      <c r="K182">
        <v>179</v>
      </c>
      <c r="L182">
        <v>0</v>
      </c>
      <c r="M182">
        <v>179</v>
      </c>
      <c r="N182">
        <v>0</v>
      </c>
      <c r="O182">
        <v>278.814641900011</v>
      </c>
      <c r="U182">
        <v>5</v>
      </c>
      <c r="V182">
        <v>278.80309830000601</v>
      </c>
      <c r="W182">
        <v>278.814641900011</v>
      </c>
      <c r="X182">
        <v>278.814641900011</v>
      </c>
      <c r="Y182">
        <v>2.53705000213813E-2</v>
      </c>
      <c r="Z182">
        <v>280.81117450000602</v>
      </c>
      <c r="AA182" t="s">
        <v>547</v>
      </c>
      <c r="AB182" t="s">
        <v>548</v>
      </c>
      <c r="AC182" t="s">
        <v>58</v>
      </c>
      <c r="AD182" t="s">
        <v>59</v>
      </c>
      <c r="AE182" t="s">
        <v>59</v>
      </c>
      <c r="AF182" t="s">
        <v>549</v>
      </c>
      <c r="AG182" t="s">
        <v>61</v>
      </c>
      <c r="AL182" t="s">
        <v>45</v>
      </c>
      <c r="AM182">
        <v>1</v>
      </c>
      <c r="AN182" t="s">
        <v>46</v>
      </c>
      <c r="AO182" t="s">
        <v>47</v>
      </c>
      <c r="AQ182" t="s">
        <v>48</v>
      </c>
      <c r="AR182">
        <v>60.014499505194401</v>
      </c>
      <c r="AS182" t="s">
        <v>49</v>
      </c>
    </row>
    <row r="183" spans="1:45" x14ac:dyDescent="0.35">
      <c r="A183">
        <v>180</v>
      </c>
      <c r="B183">
        <v>0</v>
      </c>
      <c r="C183">
        <v>180</v>
      </c>
      <c r="D183" t="s">
        <v>410</v>
      </c>
      <c r="E183" t="s">
        <v>550</v>
      </c>
      <c r="F183" t="s">
        <v>52</v>
      </c>
      <c r="G183" t="s">
        <v>53</v>
      </c>
      <c r="H183" t="s">
        <v>53</v>
      </c>
      <c r="I183" t="s">
        <v>551</v>
      </c>
      <c r="J183" t="s">
        <v>55</v>
      </c>
      <c r="K183">
        <v>180</v>
      </c>
      <c r="L183">
        <v>0</v>
      </c>
      <c r="M183">
        <v>180</v>
      </c>
      <c r="N183">
        <v>0</v>
      </c>
      <c r="O183">
        <v>280.85425589998999</v>
      </c>
      <c r="U183">
        <v>5</v>
      </c>
      <c r="V183">
        <v>280.84097200000502</v>
      </c>
      <c r="W183">
        <v>280.85425589998999</v>
      </c>
      <c r="X183">
        <v>280.85425589998999</v>
      </c>
      <c r="Y183">
        <v>2.9491900000721199E-2</v>
      </c>
      <c r="Z183">
        <v>282.06197589999601</v>
      </c>
      <c r="AA183" t="s">
        <v>410</v>
      </c>
      <c r="AB183" t="s">
        <v>550</v>
      </c>
      <c r="AC183" t="s">
        <v>52</v>
      </c>
      <c r="AD183" t="s">
        <v>53</v>
      </c>
      <c r="AE183" t="s">
        <v>53</v>
      </c>
      <c r="AF183" t="s">
        <v>551</v>
      </c>
      <c r="AG183" t="s">
        <v>55</v>
      </c>
      <c r="AL183" t="s">
        <v>45</v>
      </c>
      <c r="AM183">
        <v>1</v>
      </c>
      <c r="AN183" t="s">
        <v>46</v>
      </c>
      <c r="AO183" t="s">
        <v>47</v>
      </c>
      <c r="AQ183" t="s">
        <v>48</v>
      </c>
      <c r="AR183">
        <v>60.014499505194401</v>
      </c>
      <c r="AS183" t="s">
        <v>49</v>
      </c>
    </row>
    <row r="184" spans="1:45" x14ac:dyDescent="0.35">
      <c r="A184">
        <v>181</v>
      </c>
      <c r="B184">
        <v>0</v>
      </c>
      <c r="C184">
        <v>181</v>
      </c>
      <c r="D184" t="s">
        <v>552</v>
      </c>
      <c r="E184" t="s">
        <v>398</v>
      </c>
      <c r="F184" t="s">
        <v>52</v>
      </c>
      <c r="G184" t="s">
        <v>53</v>
      </c>
      <c r="H184" t="s">
        <v>53</v>
      </c>
      <c r="I184" t="s">
        <v>553</v>
      </c>
      <c r="J184" t="s">
        <v>55</v>
      </c>
      <c r="K184">
        <v>181</v>
      </c>
      <c r="L184">
        <v>0</v>
      </c>
      <c r="M184">
        <v>181</v>
      </c>
      <c r="N184">
        <v>0</v>
      </c>
      <c r="O184">
        <v>282.09889600000997</v>
      </c>
      <c r="U184">
        <v>5</v>
      </c>
      <c r="V184">
        <v>282.086492700007</v>
      </c>
      <c r="W184">
        <v>282.09889600000997</v>
      </c>
      <c r="X184">
        <v>282.09889600000997</v>
      </c>
      <c r="Y184">
        <v>2.4303999991388901E-2</v>
      </c>
      <c r="Z184">
        <v>283.69291419998598</v>
      </c>
      <c r="AA184" t="s">
        <v>552</v>
      </c>
      <c r="AB184" t="s">
        <v>398</v>
      </c>
      <c r="AC184" t="s">
        <v>52</v>
      </c>
      <c r="AD184" t="s">
        <v>53</v>
      </c>
      <c r="AE184" t="s">
        <v>53</v>
      </c>
      <c r="AF184" t="s">
        <v>553</v>
      </c>
      <c r="AG184" t="s">
        <v>55</v>
      </c>
      <c r="AL184" t="s">
        <v>45</v>
      </c>
      <c r="AM184">
        <v>1</v>
      </c>
      <c r="AN184" t="s">
        <v>46</v>
      </c>
      <c r="AO184" t="s">
        <v>47</v>
      </c>
      <c r="AQ184" t="s">
        <v>48</v>
      </c>
      <c r="AR184">
        <v>60.014499505194401</v>
      </c>
      <c r="AS184" t="s">
        <v>49</v>
      </c>
    </row>
    <row r="185" spans="1:45" x14ac:dyDescent="0.35">
      <c r="A185">
        <v>182</v>
      </c>
      <c r="B185">
        <v>0</v>
      </c>
      <c r="C185">
        <v>182</v>
      </c>
      <c r="D185" t="s">
        <v>152</v>
      </c>
      <c r="E185" t="s">
        <v>83</v>
      </c>
      <c r="F185" t="s">
        <v>52</v>
      </c>
      <c r="G185" t="s">
        <v>53</v>
      </c>
      <c r="H185" t="s">
        <v>53</v>
      </c>
      <c r="I185" t="s">
        <v>554</v>
      </c>
      <c r="J185" t="s">
        <v>55</v>
      </c>
      <c r="K185">
        <v>182</v>
      </c>
      <c r="L185">
        <v>0</v>
      </c>
      <c r="M185">
        <v>182</v>
      </c>
      <c r="N185">
        <v>0</v>
      </c>
      <c r="O185">
        <v>283.732093300001</v>
      </c>
      <c r="U185">
        <v>5</v>
      </c>
      <c r="V185">
        <v>283.718824599985</v>
      </c>
      <c r="W185">
        <v>283.732093300001</v>
      </c>
      <c r="X185">
        <v>283.732093300001</v>
      </c>
      <c r="Y185">
        <v>2.56571999925654E-2</v>
      </c>
      <c r="Z185">
        <v>285.161754600005</v>
      </c>
      <c r="AA185" t="s">
        <v>152</v>
      </c>
      <c r="AB185" t="s">
        <v>83</v>
      </c>
      <c r="AC185" t="s">
        <v>52</v>
      </c>
      <c r="AD185" t="s">
        <v>53</v>
      </c>
      <c r="AE185" t="s">
        <v>53</v>
      </c>
      <c r="AF185" t="s">
        <v>554</v>
      </c>
      <c r="AG185" t="s">
        <v>55</v>
      </c>
      <c r="AL185" t="s">
        <v>45</v>
      </c>
      <c r="AM185">
        <v>1</v>
      </c>
      <c r="AN185" t="s">
        <v>46</v>
      </c>
      <c r="AO185" t="s">
        <v>47</v>
      </c>
      <c r="AQ185" t="s">
        <v>48</v>
      </c>
      <c r="AR185">
        <v>60.014499505194401</v>
      </c>
      <c r="AS185" t="s">
        <v>49</v>
      </c>
    </row>
    <row r="186" spans="1:45" x14ac:dyDescent="0.35">
      <c r="A186">
        <v>183</v>
      </c>
      <c r="B186">
        <v>0</v>
      </c>
      <c r="C186">
        <v>183</v>
      </c>
      <c r="D186" t="s">
        <v>555</v>
      </c>
      <c r="E186" t="s">
        <v>556</v>
      </c>
      <c r="F186" t="s">
        <v>52</v>
      </c>
      <c r="G186" t="s">
        <v>53</v>
      </c>
      <c r="H186" t="s">
        <v>53</v>
      </c>
      <c r="I186" t="s">
        <v>557</v>
      </c>
      <c r="J186" t="s">
        <v>55</v>
      </c>
      <c r="K186">
        <v>183</v>
      </c>
      <c r="L186">
        <v>0</v>
      </c>
      <c r="M186">
        <v>183</v>
      </c>
      <c r="N186">
        <v>0</v>
      </c>
      <c r="O186">
        <v>285.23139100000799</v>
      </c>
      <c r="U186">
        <v>10</v>
      </c>
      <c r="V186">
        <v>285.21309999999301</v>
      </c>
      <c r="W186">
        <v>285.23139100000799</v>
      </c>
      <c r="X186">
        <v>285.23139100000799</v>
      </c>
      <c r="Y186">
        <v>5.1045100000919698E-2</v>
      </c>
      <c r="Z186">
        <v>286.5295759</v>
      </c>
      <c r="AA186" t="s">
        <v>555</v>
      </c>
      <c r="AB186" t="s">
        <v>556</v>
      </c>
      <c r="AC186" t="s">
        <v>52</v>
      </c>
      <c r="AD186" t="s">
        <v>53</v>
      </c>
      <c r="AE186" t="s">
        <v>53</v>
      </c>
      <c r="AF186" t="s">
        <v>557</v>
      </c>
      <c r="AG186" t="s">
        <v>55</v>
      </c>
      <c r="AL186" t="s">
        <v>45</v>
      </c>
      <c r="AM186">
        <v>1</v>
      </c>
      <c r="AN186" t="s">
        <v>46</v>
      </c>
      <c r="AO186" t="s">
        <v>47</v>
      </c>
      <c r="AQ186" t="s">
        <v>48</v>
      </c>
      <c r="AR186">
        <v>60.014499505194401</v>
      </c>
      <c r="AS186" t="s">
        <v>49</v>
      </c>
    </row>
    <row r="187" spans="1:45" x14ac:dyDescent="0.35">
      <c r="A187">
        <v>184</v>
      </c>
      <c r="B187">
        <v>0</v>
      </c>
      <c r="C187">
        <v>184</v>
      </c>
      <c r="D187" t="s">
        <v>558</v>
      </c>
      <c r="E187" t="s">
        <v>531</v>
      </c>
      <c r="F187" t="s">
        <v>52</v>
      </c>
      <c r="G187" t="s">
        <v>53</v>
      </c>
      <c r="H187" t="s">
        <v>53</v>
      </c>
      <c r="I187" t="s">
        <v>559</v>
      </c>
      <c r="J187" t="s">
        <v>55</v>
      </c>
      <c r="K187">
        <v>184</v>
      </c>
      <c r="L187">
        <v>0</v>
      </c>
      <c r="M187">
        <v>184</v>
      </c>
      <c r="N187">
        <v>0</v>
      </c>
      <c r="O187">
        <v>286.56790150000597</v>
      </c>
      <c r="U187">
        <v>5</v>
      </c>
      <c r="V187">
        <v>286.55571220000201</v>
      </c>
      <c r="W187">
        <v>286.56790150000597</v>
      </c>
      <c r="X187">
        <v>286.56790150000597</v>
      </c>
      <c r="Y187">
        <v>2.56366999819874E-2</v>
      </c>
      <c r="Z187">
        <v>287.80995759999399</v>
      </c>
      <c r="AA187" t="s">
        <v>558</v>
      </c>
      <c r="AB187" t="s">
        <v>531</v>
      </c>
      <c r="AC187" t="s">
        <v>52</v>
      </c>
      <c r="AD187" t="s">
        <v>53</v>
      </c>
      <c r="AE187" t="s">
        <v>53</v>
      </c>
      <c r="AF187" t="s">
        <v>559</v>
      </c>
      <c r="AG187" t="s">
        <v>55</v>
      </c>
      <c r="AL187" t="s">
        <v>45</v>
      </c>
      <c r="AM187">
        <v>1</v>
      </c>
      <c r="AN187" t="s">
        <v>46</v>
      </c>
      <c r="AO187" t="s">
        <v>47</v>
      </c>
      <c r="AQ187" t="s">
        <v>48</v>
      </c>
      <c r="AR187">
        <v>60.014499505194401</v>
      </c>
      <c r="AS187" t="s">
        <v>49</v>
      </c>
    </row>
    <row r="188" spans="1:45" x14ac:dyDescent="0.35">
      <c r="A188">
        <v>185</v>
      </c>
      <c r="B188">
        <v>0</v>
      </c>
      <c r="C188">
        <v>185</v>
      </c>
      <c r="D188" t="s">
        <v>173</v>
      </c>
      <c r="E188" t="s">
        <v>560</v>
      </c>
      <c r="F188" t="s">
        <v>52</v>
      </c>
      <c r="G188" t="s">
        <v>53</v>
      </c>
      <c r="H188" t="s">
        <v>53</v>
      </c>
      <c r="I188" t="s">
        <v>561</v>
      </c>
      <c r="J188" t="s">
        <v>55</v>
      </c>
      <c r="K188">
        <v>185</v>
      </c>
      <c r="L188">
        <v>0</v>
      </c>
      <c r="M188">
        <v>185</v>
      </c>
      <c r="N188">
        <v>0</v>
      </c>
      <c r="O188">
        <v>287.87770000001098</v>
      </c>
      <c r="U188">
        <v>10</v>
      </c>
      <c r="V188">
        <v>287.858065300009</v>
      </c>
      <c r="W188">
        <v>287.87770000001098</v>
      </c>
      <c r="X188">
        <v>287.87770000001098</v>
      </c>
      <c r="Y188">
        <v>4.7825999994529397E-2</v>
      </c>
      <c r="Z188">
        <v>288.97668359999</v>
      </c>
      <c r="AA188" t="s">
        <v>173</v>
      </c>
      <c r="AB188" t="s">
        <v>560</v>
      </c>
      <c r="AC188" t="s">
        <v>52</v>
      </c>
      <c r="AD188" t="s">
        <v>53</v>
      </c>
      <c r="AE188" t="s">
        <v>53</v>
      </c>
      <c r="AF188" t="s">
        <v>561</v>
      </c>
      <c r="AG188" t="s">
        <v>55</v>
      </c>
      <c r="AL188" t="s">
        <v>45</v>
      </c>
      <c r="AM188">
        <v>1</v>
      </c>
      <c r="AN188" t="s">
        <v>46</v>
      </c>
      <c r="AO188" t="s">
        <v>47</v>
      </c>
      <c r="AQ188" t="s">
        <v>48</v>
      </c>
      <c r="AR188">
        <v>60.014499505194401</v>
      </c>
      <c r="AS188" t="s">
        <v>49</v>
      </c>
    </row>
    <row r="189" spans="1:45" x14ac:dyDescent="0.35">
      <c r="A189">
        <v>186</v>
      </c>
      <c r="B189">
        <v>0</v>
      </c>
      <c r="C189">
        <v>186</v>
      </c>
      <c r="D189" t="s">
        <v>281</v>
      </c>
      <c r="E189" t="s">
        <v>562</v>
      </c>
      <c r="F189" t="s">
        <v>52</v>
      </c>
      <c r="G189" t="s">
        <v>53</v>
      </c>
      <c r="H189" t="s">
        <v>53</v>
      </c>
      <c r="I189" t="s">
        <v>563</v>
      </c>
      <c r="J189" t="s">
        <v>55</v>
      </c>
      <c r="K189">
        <v>186</v>
      </c>
      <c r="L189">
        <v>0</v>
      </c>
      <c r="M189">
        <v>186</v>
      </c>
      <c r="N189">
        <v>0</v>
      </c>
      <c r="O189">
        <v>289.01463170000301</v>
      </c>
      <c r="U189">
        <v>5</v>
      </c>
      <c r="V189">
        <v>289.00213430001099</v>
      </c>
      <c r="W189">
        <v>289.01463170000301</v>
      </c>
      <c r="X189">
        <v>289.01463170000301</v>
      </c>
      <c r="Y189">
        <v>2.5127200002316299E-2</v>
      </c>
      <c r="Z189">
        <v>290.41060780000402</v>
      </c>
      <c r="AA189" t="s">
        <v>281</v>
      </c>
      <c r="AB189" t="s">
        <v>562</v>
      </c>
      <c r="AC189" t="s">
        <v>52</v>
      </c>
      <c r="AD189" t="s">
        <v>53</v>
      </c>
      <c r="AE189" t="s">
        <v>53</v>
      </c>
      <c r="AF189" t="s">
        <v>563</v>
      </c>
      <c r="AG189" t="s">
        <v>55</v>
      </c>
      <c r="AL189" t="s">
        <v>45</v>
      </c>
      <c r="AM189">
        <v>1</v>
      </c>
      <c r="AN189" t="s">
        <v>46</v>
      </c>
      <c r="AO189" t="s">
        <v>47</v>
      </c>
      <c r="AQ189" t="s">
        <v>48</v>
      </c>
      <c r="AR189">
        <v>60.014499505194401</v>
      </c>
      <c r="AS189" t="s">
        <v>49</v>
      </c>
    </row>
    <row r="190" spans="1:45" x14ac:dyDescent="0.35">
      <c r="A190">
        <v>187</v>
      </c>
      <c r="B190">
        <v>0</v>
      </c>
      <c r="C190">
        <v>187</v>
      </c>
      <c r="D190" t="s">
        <v>564</v>
      </c>
      <c r="E190" t="s">
        <v>565</v>
      </c>
      <c r="F190" t="s">
        <v>52</v>
      </c>
      <c r="G190" t="s">
        <v>53</v>
      </c>
      <c r="H190" t="s">
        <v>53</v>
      </c>
      <c r="I190" t="s">
        <v>566</v>
      </c>
      <c r="J190" t="s">
        <v>55</v>
      </c>
      <c r="K190">
        <v>187</v>
      </c>
      <c r="L190">
        <v>0</v>
      </c>
      <c r="M190">
        <v>187</v>
      </c>
      <c r="N190">
        <v>0</v>
      </c>
      <c r="O190">
        <v>290.48176490000299</v>
      </c>
      <c r="U190">
        <v>10</v>
      </c>
      <c r="V190">
        <v>290.46163030000702</v>
      </c>
      <c r="W190">
        <v>290.48176490000299</v>
      </c>
      <c r="X190">
        <v>290.48176490000299</v>
      </c>
      <c r="Y190">
        <v>5.0821699987864101E-2</v>
      </c>
      <c r="Z190">
        <v>291.79318929999101</v>
      </c>
      <c r="AA190" t="s">
        <v>564</v>
      </c>
      <c r="AB190" t="s">
        <v>565</v>
      </c>
      <c r="AC190" t="s">
        <v>52</v>
      </c>
      <c r="AD190" t="s">
        <v>53</v>
      </c>
      <c r="AE190" t="s">
        <v>53</v>
      </c>
      <c r="AF190" t="s">
        <v>566</v>
      </c>
      <c r="AG190" t="s">
        <v>55</v>
      </c>
      <c r="AL190" t="s">
        <v>45</v>
      </c>
      <c r="AM190">
        <v>1</v>
      </c>
      <c r="AN190" t="s">
        <v>46</v>
      </c>
      <c r="AO190" t="s">
        <v>47</v>
      </c>
      <c r="AQ190" t="s">
        <v>48</v>
      </c>
      <c r="AR190">
        <v>60.014499505194401</v>
      </c>
      <c r="AS190" t="s">
        <v>49</v>
      </c>
    </row>
    <row r="191" spans="1:45" x14ac:dyDescent="0.35">
      <c r="A191">
        <v>188</v>
      </c>
      <c r="B191">
        <v>0</v>
      </c>
      <c r="C191">
        <v>188</v>
      </c>
      <c r="D191" t="s">
        <v>567</v>
      </c>
      <c r="E191" t="s">
        <v>568</v>
      </c>
      <c r="F191" t="s">
        <v>58</v>
      </c>
      <c r="G191" t="s">
        <v>59</v>
      </c>
      <c r="H191" t="s">
        <v>59</v>
      </c>
      <c r="I191" t="s">
        <v>569</v>
      </c>
      <c r="J191" t="s">
        <v>61</v>
      </c>
      <c r="K191">
        <v>188</v>
      </c>
      <c r="L191">
        <v>0</v>
      </c>
      <c r="M191">
        <v>188</v>
      </c>
      <c r="N191">
        <v>0</v>
      </c>
      <c r="O191">
        <v>291.8293673</v>
      </c>
      <c r="U191">
        <v>5</v>
      </c>
      <c r="V191">
        <v>291.81740669999198</v>
      </c>
      <c r="W191">
        <v>291.8293673</v>
      </c>
      <c r="X191">
        <v>291.8293673</v>
      </c>
      <c r="Y191">
        <v>2.3851699981605599E-2</v>
      </c>
      <c r="Z191">
        <v>293.77846500000999</v>
      </c>
      <c r="AA191" t="s">
        <v>567</v>
      </c>
      <c r="AB191" t="s">
        <v>568</v>
      </c>
      <c r="AC191" t="s">
        <v>58</v>
      </c>
      <c r="AD191" t="s">
        <v>59</v>
      </c>
      <c r="AE191" t="s">
        <v>59</v>
      </c>
      <c r="AF191" t="s">
        <v>569</v>
      </c>
      <c r="AG191" t="s">
        <v>61</v>
      </c>
      <c r="AL191" t="s">
        <v>45</v>
      </c>
      <c r="AM191">
        <v>1</v>
      </c>
      <c r="AN191" t="s">
        <v>46</v>
      </c>
      <c r="AO191" t="s">
        <v>47</v>
      </c>
      <c r="AQ191" t="s">
        <v>48</v>
      </c>
      <c r="AR191">
        <v>60.014499505194401</v>
      </c>
      <c r="AS191" t="s">
        <v>49</v>
      </c>
    </row>
    <row r="192" spans="1:45" x14ac:dyDescent="0.35">
      <c r="A192">
        <v>189</v>
      </c>
      <c r="B192">
        <v>0</v>
      </c>
      <c r="C192">
        <v>189</v>
      </c>
      <c r="D192" t="s">
        <v>570</v>
      </c>
      <c r="E192" t="s">
        <v>515</v>
      </c>
      <c r="F192" t="s">
        <v>52</v>
      </c>
      <c r="G192" t="s">
        <v>53</v>
      </c>
      <c r="H192" t="s">
        <v>53</v>
      </c>
      <c r="I192" t="s">
        <v>571</v>
      </c>
      <c r="J192" t="s">
        <v>55</v>
      </c>
      <c r="K192">
        <v>189</v>
      </c>
      <c r="L192">
        <v>0</v>
      </c>
      <c r="M192">
        <v>189</v>
      </c>
      <c r="N192">
        <v>0</v>
      </c>
      <c r="O192">
        <v>293.85035749999201</v>
      </c>
      <c r="U192">
        <v>10</v>
      </c>
      <c r="V192">
        <v>293.831076200003</v>
      </c>
      <c r="W192">
        <v>293.85035749999201</v>
      </c>
      <c r="X192">
        <v>293.85035749999201</v>
      </c>
      <c r="Y192">
        <v>5.2191399998264297E-2</v>
      </c>
      <c r="Z192">
        <v>295.39544709998802</v>
      </c>
      <c r="AA192" t="s">
        <v>570</v>
      </c>
      <c r="AB192" t="s">
        <v>515</v>
      </c>
      <c r="AC192" t="s">
        <v>52</v>
      </c>
      <c r="AD192" t="s">
        <v>53</v>
      </c>
      <c r="AE192" t="s">
        <v>53</v>
      </c>
      <c r="AF192" t="s">
        <v>571</v>
      </c>
      <c r="AG192" t="s">
        <v>55</v>
      </c>
      <c r="AL192" t="s">
        <v>45</v>
      </c>
      <c r="AM192">
        <v>1</v>
      </c>
      <c r="AN192" t="s">
        <v>46</v>
      </c>
      <c r="AO192" t="s">
        <v>47</v>
      </c>
      <c r="AQ192" t="s">
        <v>48</v>
      </c>
      <c r="AR192">
        <v>60.014499505194401</v>
      </c>
      <c r="AS192" t="s">
        <v>49</v>
      </c>
    </row>
    <row r="193" spans="1:45" x14ac:dyDescent="0.35">
      <c r="A193">
        <v>190</v>
      </c>
      <c r="B193">
        <v>0</v>
      </c>
      <c r="C193">
        <v>190</v>
      </c>
      <c r="D193" t="s">
        <v>572</v>
      </c>
      <c r="E193" t="s">
        <v>540</v>
      </c>
      <c r="F193" t="s">
        <v>52</v>
      </c>
      <c r="G193" t="s">
        <v>53</v>
      </c>
      <c r="H193" t="s">
        <v>53</v>
      </c>
      <c r="I193" t="s">
        <v>573</v>
      </c>
      <c r="J193" t="s">
        <v>55</v>
      </c>
      <c r="K193">
        <v>190</v>
      </c>
      <c r="L193">
        <v>0</v>
      </c>
      <c r="M193">
        <v>190</v>
      </c>
      <c r="N193">
        <v>0</v>
      </c>
      <c r="O193">
        <v>295.46196250000497</v>
      </c>
      <c r="U193">
        <v>10</v>
      </c>
      <c r="V193">
        <v>295.44398179999502</v>
      </c>
      <c r="W193">
        <v>295.46196250000497</v>
      </c>
      <c r="X193">
        <v>295.46196250000497</v>
      </c>
      <c r="Y193">
        <v>4.8269599996274302E-2</v>
      </c>
      <c r="Z193">
        <v>297.09477560000897</v>
      </c>
      <c r="AA193" t="s">
        <v>572</v>
      </c>
      <c r="AB193" t="s">
        <v>540</v>
      </c>
      <c r="AC193" t="s">
        <v>52</v>
      </c>
      <c r="AD193" t="s">
        <v>53</v>
      </c>
      <c r="AE193" t="s">
        <v>53</v>
      </c>
      <c r="AF193" t="s">
        <v>573</v>
      </c>
      <c r="AG193" t="s">
        <v>55</v>
      </c>
      <c r="AL193" t="s">
        <v>45</v>
      </c>
      <c r="AM193">
        <v>1</v>
      </c>
      <c r="AN193" t="s">
        <v>46</v>
      </c>
      <c r="AO193" t="s">
        <v>47</v>
      </c>
      <c r="AQ193" t="s">
        <v>48</v>
      </c>
      <c r="AR193">
        <v>60.014499505194401</v>
      </c>
      <c r="AS193" t="s">
        <v>49</v>
      </c>
    </row>
    <row r="194" spans="1:45" x14ac:dyDescent="0.35">
      <c r="A194">
        <v>191</v>
      </c>
      <c r="B194">
        <v>0</v>
      </c>
      <c r="C194">
        <v>191</v>
      </c>
      <c r="D194" t="s">
        <v>574</v>
      </c>
      <c r="E194" t="s">
        <v>448</v>
      </c>
      <c r="F194" t="s">
        <v>52</v>
      </c>
      <c r="G194" t="s">
        <v>53</v>
      </c>
      <c r="H194" t="s">
        <v>53</v>
      </c>
      <c r="I194" t="s">
        <v>575</v>
      </c>
      <c r="J194" t="s">
        <v>55</v>
      </c>
      <c r="K194">
        <v>191</v>
      </c>
      <c r="L194">
        <v>0</v>
      </c>
      <c r="M194">
        <v>191</v>
      </c>
      <c r="N194">
        <v>0</v>
      </c>
      <c r="O194">
        <v>297.13658930000298</v>
      </c>
      <c r="U194">
        <v>5</v>
      </c>
      <c r="V194">
        <v>297.12338549998799</v>
      </c>
      <c r="W194">
        <v>297.13658930000298</v>
      </c>
      <c r="X194">
        <v>297.13658930000298</v>
      </c>
      <c r="Y194">
        <v>2.8223100001923698E-2</v>
      </c>
      <c r="Z194">
        <v>298.59556270000701</v>
      </c>
      <c r="AA194" t="s">
        <v>574</v>
      </c>
      <c r="AB194" t="s">
        <v>448</v>
      </c>
      <c r="AC194" t="s">
        <v>52</v>
      </c>
      <c r="AD194" t="s">
        <v>53</v>
      </c>
      <c r="AE194" t="s">
        <v>53</v>
      </c>
      <c r="AF194" t="s">
        <v>575</v>
      </c>
      <c r="AG194" t="s">
        <v>55</v>
      </c>
      <c r="AL194" t="s">
        <v>45</v>
      </c>
      <c r="AM194">
        <v>1</v>
      </c>
      <c r="AN194" t="s">
        <v>46</v>
      </c>
      <c r="AO194" t="s">
        <v>47</v>
      </c>
      <c r="AQ194" t="s">
        <v>48</v>
      </c>
      <c r="AR194">
        <v>60.014499505194401</v>
      </c>
      <c r="AS194" t="s">
        <v>49</v>
      </c>
    </row>
    <row r="195" spans="1:45" x14ac:dyDescent="0.35">
      <c r="A195">
        <v>192</v>
      </c>
      <c r="B195">
        <v>0</v>
      </c>
      <c r="C195">
        <v>192</v>
      </c>
      <c r="D195" t="s">
        <v>576</v>
      </c>
      <c r="E195" t="s">
        <v>577</v>
      </c>
      <c r="F195" t="s">
        <v>52</v>
      </c>
      <c r="G195" t="s">
        <v>53</v>
      </c>
      <c r="H195" t="s">
        <v>53</v>
      </c>
      <c r="I195" t="s">
        <v>578</v>
      </c>
      <c r="J195" t="s">
        <v>55</v>
      </c>
      <c r="K195">
        <v>192</v>
      </c>
      <c r="L195">
        <v>0</v>
      </c>
      <c r="M195">
        <v>192</v>
      </c>
      <c r="N195">
        <v>0</v>
      </c>
      <c r="O195">
        <v>298.665462500008</v>
      </c>
      <c r="U195">
        <v>10</v>
      </c>
      <c r="V195">
        <v>298.64573079999502</v>
      </c>
      <c r="W195">
        <v>298.665462500008</v>
      </c>
      <c r="X195">
        <v>298.665462500008</v>
      </c>
      <c r="Y195">
        <v>4.9969899991992799E-2</v>
      </c>
      <c r="Z195">
        <v>299.72724680000101</v>
      </c>
      <c r="AA195" t="s">
        <v>576</v>
      </c>
      <c r="AB195" t="s">
        <v>577</v>
      </c>
      <c r="AC195" t="s">
        <v>52</v>
      </c>
      <c r="AD195" t="s">
        <v>53</v>
      </c>
      <c r="AE195" t="s">
        <v>53</v>
      </c>
      <c r="AF195" t="s">
        <v>578</v>
      </c>
      <c r="AG195" t="s">
        <v>55</v>
      </c>
      <c r="AL195" t="s">
        <v>45</v>
      </c>
      <c r="AM195">
        <v>1</v>
      </c>
      <c r="AN195" t="s">
        <v>46</v>
      </c>
      <c r="AO195" t="s">
        <v>47</v>
      </c>
      <c r="AQ195" t="s">
        <v>48</v>
      </c>
      <c r="AR195">
        <v>60.014499505194401</v>
      </c>
      <c r="AS195" t="s">
        <v>49</v>
      </c>
    </row>
    <row r="196" spans="1:45" x14ac:dyDescent="0.35">
      <c r="A196">
        <v>193</v>
      </c>
      <c r="B196">
        <v>0</v>
      </c>
      <c r="C196">
        <v>193</v>
      </c>
      <c r="D196" t="s">
        <v>579</v>
      </c>
      <c r="E196" t="s">
        <v>162</v>
      </c>
      <c r="F196" t="s">
        <v>52</v>
      </c>
      <c r="G196" t="s">
        <v>53</v>
      </c>
      <c r="H196" t="s">
        <v>53</v>
      </c>
      <c r="I196" t="s">
        <v>580</v>
      </c>
      <c r="J196" t="s">
        <v>55</v>
      </c>
      <c r="K196">
        <v>193</v>
      </c>
      <c r="L196">
        <v>0</v>
      </c>
      <c r="M196">
        <v>193</v>
      </c>
      <c r="N196">
        <v>0</v>
      </c>
      <c r="O196">
        <v>299.79824259999401</v>
      </c>
      <c r="U196">
        <v>10</v>
      </c>
      <c r="V196">
        <v>299.77687110000898</v>
      </c>
      <c r="W196">
        <v>299.79824259999401</v>
      </c>
      <c r="X196">
        <v>299.79824259999401</v>
      </c>
      <c r="Y196">
        <v>4.9420700001064598E-2</v>
      </c>
      <c r="Z196">
        <v>300.92659270000797</v>
      </c>
      <c r="AA196" t="s">
        <v>579</v>
      </c>
      <c r="AB196" t="s">
        <v>162</v>
      </c>
      <c r="AC196" t="s">
        <v>52</v>
      </c>
      <c r="AD196" t="s">
        <v>53</v>
      </c>
      <c r="AE196" t="s">
        <v>53</v>
      </c>
      <c r="AF196" t="s">
        <v>580</v>
      </c>
      <c r="AG196" t="s">
        <v>55</v>
      </c>
      <c r="AL196" t="s">
        <v>45</v>
      </c>
      <c r="AM196">
        <v>1</v>
      </c>
      <c r="AN196" t="s">
        <v>46</v>
      </c>
      <c r="AO196" t="s">
        <v>47</v>
      </c>
      <c r="AQ196" t="s">
        <v>48</v>
      </c>
      <c r="AR196">
        <v>60.014499505194401</v>
      </c>
      <c r="AS196" t="s">
        <v>49</v>
      </c>
    </row>
    <row r="197" spans="1:45" x14ac:dyDescent="0.35">
      <c r="A197">
        <v>194</v>
      </c>
      <c r="B197">
        <v>0</v>
      </c>
      <c r="C197">
        <v>194</v>
      </c>
      <c r="D197" t="s">
        <v>581</v>
      </c>
      <c r="E197" t="s">
        <v>582</v>
      </c>
      <c r="F197" t="s">
        <v>52</v>
      </c>
      <c r="G197" t="s">
        <v>53</v>
      </c>
      <c r="H197" t="s">
        <v>53</v>
      </c>
      <c r="I197" t="s">
        <v>583</v>
      </c>
      <c r="J197" t="s">
        <v>55</v>
      </c>
      <c r="K197">
        <v>194</v>
      </c>
      <c r="L197">
        <v>0</v>
      </c>
      <c r="M197">
        <v>194</v>
      </c>
      <c r="N197">
        <v>0</v>
      </c>
      <c r="O197">
        <v>300.965515999996</v>
      </c>
      <c r="U197">
        <v>5</v>
      </c>
      <c r="V197">
        <v>300.95234779998998</v>
      </c>
      <c r="W197">
        <v>300.965515999996</v>
      </c>
      <c r="X197">
        <v>300.965515999996</v>
      </c>
      <c r="Y197">
        <v>2.5434799987124199E-2</v>
      </c>
      <c r="Z197">
        <v>302.04630789998902</v>
      </c>
      <c r="AA197" t="s">
        <v>581</v>
      </c>
      <c r="AB197" t="s">
        <v>582</v>
      </c>
      <c r="AC197" t="s">
        <v>52</v>
      </c>
      <c r="AD197" t="s">
        <v>53</v>
      </c>
      <c r="AE197" t="s">
        <v>53</v>
      </c>
      <c r="AF197" t="s">
        <v>583</v>
      </c>
      <c r="AG197" t="s">
        <v>55</v>
      </c>
      <c r="AL197" t="s">
        <v>45</v>
      </c>
      <c r="AM197">
        <v>1</v>
      </c>
      <c r="AN197" t="s">
        <v>46</v>
      </c>
      <c r="AO197" t="s">
        <v>47</v>
      </c>
      <c r="AQ197" t="s">
        <v>48</v>
      </c>
      <c r="AR197">
        <v>60.014499505194401</v>
      </c>
      <c r="AS197" t="s">
        <v>49</v>
      </c>
    </row>
    <row r="198" spans="1:45" x14ac:dyDescent="0.35">
      <c r="A198">
        <v>195</v>
      </c>
      <c r="B198">
        <v>0</v>
      </c>
      <c r="C198">
        <v>195</v>
      </c>
      <c r="D198" t="s">
        <v>584</v>
      </c>
      <c r="E198" t="s">
        <v>494</v>
      </c>
      <c r="F198" t="s">
        <v>52</v>
      </c>
      <c r="G198" t="s">
        <v>53</v>
      </c>
      <c r="H198" t="s">
        <v>53</v>
      </c>
      <c r="I198" t="s">
        <v>585</v>
      </c>
      <c r="J198" t="s">
        <v>55</v>
      </c>
      <c r="K198">
        <v>195</v>
      </c>
      <c r="L198">
        <v>0</v>
      </c>
      <c r="M198">
        <v>195</v>
      </c>
      <c r="N198">
        <v>0</v>
      </c>
      <c r="O198">
        <v>302.11522209999299</v>
      </c>
      <c r="U198">
        <v>10</v>
      </c>
      <c r="V198">
        <v>302.09573090000703</v>
      </c>
      <c r="W198">
        <v>302.11522209999299</v>
      </c>
      <c r="X198">
        <v>302.11522209999299</v>
      </c>
      <c r="Y198">
        <v>4.9196199979633003E-2</v>
      </c>
      <c r="Z198">
        <v>303.51077409999499</v>
      </c>
      <c r="AA198" t="s">
        <v>584</v>
      </c>
      <c r="AB198" t="s">
        <v>494</v>
      </c>
      <c r="AC198" t="s">
        <v>52</v>
      </c>
      <c r="AD198" t="s">
        <v>53</v>
      </c>
      <c r="AE198" t="s">
        <v>53</v>
      </c>
      <c r="AF198" t="s">
        <v>585</v>
      </c>
      <c r="AG198" t="s">
        <v>55</v>
      </c>
      <c r="AL198" t="s">
        <v>45</v>
      </c>
      <c r="AM198">
        <v>1</v>
      </c>
      <c r="AN198" t="s">
        <v>46</v>
      </c>
      <c r="AO198" t="s">
        <v>47</v>
      </c>
      <c r="AQ198" t="s">
        <v>48</v>
      </c>
      <c r="AR198">
        <v>60.014499505194401</v>
      </c>
      <c r="AS198" t="s">
        <v>49</v>
      </c>
    </row>
    <row r="199" spans="1:45" x14ac:dyDescent="0.35">
      <c r="A199">
        <v>196</v>
      </c>
      <c r="B199">
        <v>0</v>
      </c>
      <c r="C199">
        <v>196</v>
      </c>
      <c r="D199" t="s">
        <v>294</v>
      </c>
      <c r="E199" t="s">
        <v>586</v>
      </c>
      <c r="F199" t="s">
        <v>52</v>
      </c>
      <c r="G199" t="s">
        <v>53</v>
      </c>
      <c r="H199" t="s">
        <v>53</v>
      </c>
      <c r="I199" t="s">
        <v>587</v>
      </c>
      <c r="J199" t="s">
        <v>55</v>
      </c>
      <c r="K199">
        <v>196</v>
      </c>
      <c r="L199">
        <v>0</v>
      </c>
      <c r="M199">
        <v>196</v>
      </c>
      <c r="N199">
        <v>0</v>
      </c>
      <c r="O199">
        <v>303.57879930001201</v>
      </c>
      <c r="U199">
        <v>10</v>
      </c>
      <c r="V199">
        <v>303.56000239998599</v>
      </c>
      <c r="W199">
        <v>303.57879930001201</v>
      </c>
      <c r="X199">
        <v>303.57879930001201</v>
      </c>
      <c r="Y199">
        <v>4.8932999983662698E-2</v>
      </c>
      <c r="Z199">
        <v>305.66121940000397</v>
      </c>
      <c r="AA199" t="s">
        <v>294</v>
      </c>
      <c r="AB199" t="s">
        <v>586</v>
      </c>
      <c r="AC199" t="s">
        <v>52</v>
      </c>
      <c r="AD199" t="s">
        <v>53</v>
      </c>
      <c r="AE199" t="s">
        <v>53</v>
      </c>
      <c r="AF199" t="s">
        <v>587</v>
      </c>
      <c r="AG199" t="s">
        <v>55</v>
      </c>
      <c r="AL199" t="s">
        <v>45</v>
      </c>
      <c r="AM199">
        <v>1</v>
      </c>
      <c r="AN199" t="s">
        <v>46</v>
      </c>
      <c r="AO199" t="s">
        <v>47</v>
      </c>
      <c r="AQ199" t="s">
        <v>48</v>
      </c>
      <c r="AR199">
        <v>60.014499505194401</v>
      </c>
      <c r="AS199" t="s">
        <v>49</v>
      </c>
    </row>
    <row r="200" spans="1:45" x14ac:dyDescent="0.35">
      <c r="A200">
        <v>197</v>
      </c>
      <c r="B200">
        <v>0</v>
      </c>
      <c r="C200">
        <v>197</v>
      </c>
      <c r="D200" t="s">
        <v>588</v>
      </c>
      <c r="E200" t="s">
        <v>589</v>
      </c>
      <c r="F200" t="s">
        <v>52</v>
      </c>
      <c r="G200" t="s">
        <v>53</v>
      </c>
      <c r="H200" t="s">
        <v>53</v>
      </c>
      <c r="I200" t="s">
        <v>590</v>
      </c>
      <c r="J200" t="s">
        <v>55</v>
      </c>
      <c r="K200">
        <v>197</v>
      </c>
      <c r="L200">
        <v>0</v>
      </c>
      <c r="M200">
        <v>197</v>
      </c>
      <c r="N200">
        <v>0</v>
      </c>
      <c r="O200">
        <v>305.70041019999098</v>
      </c>
      <c r="U200">
        <v>5</v>
      </c>
      <c r="V200">
        <v>305.68801029998502</v>
      </c>
      <c r="W200">
        <v>305.70041019999098</v>
      </c>
      <c r="X200">
        <v>305.70041019999098</v>
      </c>
      <c r="Y200">
        <v>2.64480000187177E-2</v>
      </c>
      <c r="Z200">
        <v>306.97643109998899</v>
      </c>
      <c r="AA200" t="s">
        <v>588</v>
      </c>
      <c r="AB200" t="s">
        <v>589</v>
      </c>
      <c r="AC200" t="s">
        <v>52</v>
      </c>
      <c r="AD200" t="s">
        <v>53</v>
      </c>
      <c r="AE200" t="s">
        <v>53</v>
      </c>
      <c r="AF200" t="s">
        <v>590</v>
      </c>
      <c r="AG200" t="s">
        <v>55</v>
      </c>
      <c r="AL200" t="s">
        <v>45</v>
      </c>
      <c r="AM200">
        <v>1</v>
      </c>
      <c r="AN200" t="s">
        <v>46</v>
      </c>
      <c r="AO200" t="s">
        <v>47</v>
      </c>
      <c r="AQ200" t="s">
        <v>48</v>
      </c>
      <c r="AR200">
        <v>60.014499505194401</v>
      </c>
      <c r="AS200" t="s">
        <v>49</v>
      </c>
    </row>
    <row r="201" spans="1:45" x14ac:dyDescent="0.35">
      <c r="A201">
        <v>198</v>
      </c>
      <c r="B201">
        <v>0</v>
      </c>
      <c r="C201">
        <v>198</v>
      </c>
      <c r="D201" t="s">
        <v>531</v>
      </c>
      <c r="E201" t="s">
        <v>591</v>
      </c>
      <c r="F201" t="s">
        <v>52</v>
      </c>
      <c r="G201" t="s">
        <v>53</v>
      </c>
      <c r="H201" t="s">
        <v>53</v>
      </c>
      <c r="I201" t="s">
        <v>592</v>
      </c>
      <c r="J201" t="s">
        <v>55</v>
      </c>
      <c r="K201">
        <v>198</v>
      </c>
      <c r="L201">
        <v>0</v>
      </c>
      <c r="M201">
        <v>198</v>
      </c>
      <c r="N201">
        <v>0</v>
      </c>
      <c r="O201">
        <v>307.04681520000997</v>
      </c>
      <c r="U201">
        <v>10</v>
      </c>
      <c r="V201">
        <v>307.02673630000203</v>
      </c>
      <c r="W201">
        <v>307.04681520000997</v>
      </c>
      <c r="X201">
        <v>307.04681520000997</v>
      </c>
      <c r="Y201">
        <v>5.0062599999364403E-2</v>
      </c>
      <c r="Z201">
        <v>308.24525499998703</v>
      </c>
      <c r="AA201" t="s">
        <v>531</v>
      </c>
      <c r="AB201" t="s">
        <v>591</v>
      </c>
      <c r="AC201" t="s">
        <v>52</v>
      </c>
      <c r="AD201" t="s">
        <v>53</v>
      </c>
      <c r="AE201" t="s">
        <v>53</v>
      </c>
      <c r="AF201" t="s">
        <v>592</v>
      </c>
      <c r="AG201" t="s">
        <v>55</v>
      </c>
      <c r="AL201" t="s">
        <v>45</v>
      </c>
      <c r="AM201">
        <v>1</v>
      </c>
      <c r="AN201" t="s">
        <v>46</v>
      </c>
      <c r="AO201" t="s">
        <v>47</v>
      </c>
      <c r="AQ201" t="s">
        <v>48</v>
      </c>
      <c r="AR201">
        <v>60.014499505194401</v>
      </c>
      <c r="AS201" t="s">
        <v>49</v>
      </c>
    </row>
    <row r="202" spans="1:45" x14ac:dyDescent="0.35">
      <c r="A202">
        <v>199</v>
      </c>
      <c r="B202">
        <v>0</v>
      </c>
      <c r="C202">
        <v>199</v>
      </c>
      <c r="D202" t="s">
        <v>593</v>
      </c>
      <c r="E202" t="s">
        <v>517</v>
      </c>
      <c r="F202" t="s">
        <v>52</v>
      </c>
      <c r="G202" t="s">
        <v>53</v>
      </c>
      <c r="H202" t="s">
        <v>53</v>
      </c>
      <c r="I202" t="s">
        <v>594</v>
      </c>
      <c r="J202" t="s">
        <v>55</v>
      </c>
      <c r="K202">
        <v>199</v>
      </c>
      <c r="L202">
        <v>0</v>
      </c>
      <c r="M202">
        <v>199</v>
      </c>
      <c r="N202">
        <v>0</v>
      </c>
      <c r="O202">
        <v>308.28354179998797</v>
      </c>
      <c r="U202">
        <v>5</v>
      </c>
      <c r="V202">
        <v>308.26983000000399</v>
      </c>
      <c r="W202">
        <v>308.28354179998797</v>
      </c>
      <c r="X202">
        <v>308.28354179998797</v>
      </c>
      <c r="Y202">
        <v>2.43034999875817E-2</v>
      </c>
      <c r="Z202">
        <v>309.62851869998798</v>
      </c>
      <c r="AA202" t="s">
        <v>593</v>
      </c>
      <c r="AB202" t="s">
        <v>517</v>
      </c>
      <c r="AC202" t="s">
        <v>52</v>
      </c>
      <c r="AD202" t="s">
        <v>53</v>
      </c>
      <c r="AE202" t="s">
        <v>53</v>
      </c>
      <c r="AF202" t="s">
        <v>594</v>
      </c>
      <c r="AG202" t="s">
        <v>55</v>
      </c>
      <c r="AL202" t="s">
        <v>45</v>
      </c>
      <c r="AM202">
        <v>1</v>
      </c>
      <c r="AN202" t="s">
        <v>46</v>
      </c>
      <c r="AO202" t="s">
        <v>47</v>
      </c>
      <c r="AQ202" t="s">
        <v>48</v>
      </c>
      <c r="AR202">
        <v>60.014499505194401</v>
      </c>
      <c r="AS202" t="s">
        <v>49</v>
      </c>
    </row>
    <row r="203" spans="1:45" x14ac:dyDescent="0.35">
      <c r="AH203">
        <v>309.62890780001101</v>
      </c>
      <c r="AI203">
        <v>309.64086980000098</v>
      </c>
      <c r="AJ203">
        <v>310.64162849998598</v>
      </c>
      <c r="AK203">
        <v>310.62651929998498</v>
      </c>
      <c r="AL203" t="s">
        <v>45</v>
      </c>
      <c r="AM203">
        <v>1</v>
      </c>
      <c r="AN203" t="s">
        <v>46</v>
      </c>
      <c r="AO203" t="s">
        <v>47</v>
      </c>
      <c r="AQ203" t="s">
        <v>48</v>
      </c>
      <c r="AR203">
        <v>60.014499505194401</v>
      </c>
      <c r="AS20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5134-CEBC-4E33-A7F8-ADC4A3824477}">
  <dimension ref="A1:K202"/>
  <sheetViews>
    <sheetView tabSelected="1" topLeftCell="F1" zoomScale="67" workbookViewId="0">
      <selection activeCell="K17" sqref="K17"/>
    </sheetView>
  </sheetViews>
  <sheetFormatPr defaultRowHeight="14.5" x14ac:dyDescent="0.35"/>
  <cols>
    <col min="1" max="1" width="38.54296875" bestFit="1" customWidth="1"/>
    <col min="2" max="2" width="22.6328125" bestFit="1" customWidth="1"/>
    <col min="5" max="5" width="19.6328125" bestFit="1" customWidth="1"/>
    <col min="9" max="9" width="11" bestFit="1" customWidth="1"/>
  </cols>
  <sheetData>
    <row r="1" spans="1:10" x14ac:dyDescent="0.35">
      <c r="A1" t="s">
        <v>8</v>
      </c>
      <c r="B1" t="s">
        <v>9</v>
      </c>
      <c r="C1" t="s">
        <v>20</v>
      </c>
      <c r="E1" t="s">
        <v>8</v>
      </c>
      <c r="F1" t="s">
        <v>9</v>
      </c>
      <c r="G1" t="s">
        <v>20</v>
      </c>
    </row>
    <row r="3" spans="1:10" x14ac:dyDescent="0.35">
      <c r="A3" t="s">
        <v>54</v>
      </c>
      <c r="B3" t="s">
        <v>55</v>
      </c>
      <c r="C3">
        <v>10</v>
      </c>
      <c r="E3">
        <v>1.05776689999038</v>
      </c>
      <c r="F3" t="s">
        <v>55</v>
      </c>
      <c r="G3">
        <v>5</v>
      </c>
    </row>
    <row r="4" spans="1:10" x14ac:dyDescent="0.35">
      <c r="A4" s="1" t="s">
        <v>60</v>
      </c>
      <c r="B4" s="1" t="s">
        <v>61</v>
      </c>
      <c r="C4" s="1">
        <v>10</v>
      </c>
      <c r="E4">
        <v>1.2265890999988101</v>
      </c>
      <c r="F4" t="s">
        <v>55</v>
      </c>
      <c r="G4">
        <v>5</v>
      </c>
    </row>
    <row r="5" spans="1:10" x14ac:dyDescent="0.35">
      <c r="A5" t="s">
        <v>64</v>
      </c>
      <c r="B5" t="s">
        <v>55</v>
      </c>
      <c r="C5">
        <v>10</v>
      </c>
      <c r="E5">
        <v>1.3386706000019299</v>
      </c>
      <c r="F5" t="s">
        <v>55</v>
      </c>
      <c r="G5">
        <v>5</v>
      </c>
    </row>
    <row r="6" spans="1:10" x14ac:dyDescent="0.35">
      <c r="A6" t="s">
        <v>67</v>
      </c>
      <c r="B6" t="s">
        <v>55</v>
      </c>
      <c r="C6">
        <v>5</v>
      </c>
      <c r="E6">
        <v>1.09183520000078</v>
      </c>
      <c r="F6" t="s">
        <v>55</v>
      </c>
      <c r="G6">
        <v>5</v>
      </c>
    </row>
    <row r="7" spans="1:10" x14ac:dyDescent="0.35">
      <c r="A7" t="s">
        <v>70</v>
      </c>
      <c r="B7" t="s">
        <v>55</v>
      </c>
      <c r="C7">
        <v>10</v>
      </c>
      <c r="E7">
        <v>1.2359139000182</v>
      </c>
      <c r="F7" t="s">
        <v>55</v>
      </c>
      <c r="G7">
        <v>5</v>
      </c>
    </row>
    <row r="8" spans="1:10" x14ac:dyDescent="0.35">
      <c r="A8" t="s">
        <v>73</v>
      </c>
      <c r="B8" t="s">
        <v>55</v>
      </c>
      <c r="C8">
        <v>10</v>
      </c>
      <c r="E8">
        <v>1.39259199998923</v>
      </c>
      <c r="F8" t="s">
        <v>55</v>
      </c>
      <c r="G8">
        <v>5</v>
      </c>
    </row>
    <row r="9" spans="1:10" x14ac:dyDescent="0.35">
      <c r="A9" t="s">
        <v>76</v>
      </c>
      <c r="B9" t="s">
        <v>55</v>
      </c>
      <c r="C9">
        <v>10</v>
      </c>
      <c r="E9">
        <v>1.0247969999909401</v>
      </c>
      <c r="F9" t="s">
        <v>55</v>
      </c>
      <c r="G9">
        <v>5</v>
      </c>
    </row>
    <row r="10" spans="1:10" x14ac:dyDescent="0.35">
      <c r="A10" t="s">
        <v>79</v>
      </c>
      <c r="B10" t="s">
        <v>55</v>
      </c>
      <c r="C10">
        <v>5</v>
      </c>
      <c r="E10">
        <v>1.5422412000189001</v>
      </c>
      <c r="F10" t="s">
        <v>55</v>
      </c>
      <c r="G10">
        <v>5</v>
      </c>
    </row>
    <row r="11" spans="1:10" x14ac:dyDescent="0.35">
      <c r="A11" t="s">
        <v>82</v>
      </c>
      <c r="B11" t="s">
        <v>55</v>
      </c>
      <c r="C11">
        <v>10</v>
      </c>
      <c r="E11">
        <v>1.2053616000048299</v>
      </c>
      <c r="F11" t="s">
        <v>55</v>
      </c>
      <c r="G11">
        <v>5</v>
      </c>
      <c r="I11" t="s">
        <v>595</v>
      </c>
      <c r="J11">
        <f>AVERAGE(E3:E100)</f>
        <v>1.3096766081651663</v>
      </c>
    </row>
    <row r="12" spans="1:10" x14ac:dyDescent="0.35">
      <c r="A12" t="s">
        <v>85</v>
      </c>
      <c r="B12" t="s">
        <v>55</v>
      </c>
      <c r="C12">
        <v>5</v>
      </c>
      <c r="E12">
        <v>1.08900199999334</v>
      </c>
      <c r="F12" t="s">
        <v>55</v>
      </c>
      <c r="G12">
        <v>5</v>
      </c>
      <c r="I12" t="s">
        <v>596</v>
      </c>
      <c r="J12">
        <f>AVERAGE(E101:E186)</f>
        <v>1.535425852328334</v>
      </c>
    </row>
    <row r="13" spans="1:10" x14ac:dyDescent="0.35">
      <c r="A13" t="s">
        <v>88</v>
      </c>
      <c r="B13" t="s">
        <v>55</v>
      </c>
      <c r="C13">
        <v>10</v>
      </c>
      <c r="E13">
        <v>1.2349383000109799</v>
      </c>
      <c r="F13" t="s">
        <v>55</v>
      </c>
      <c r="G13">
        <v>5</v>
      </c>
    </row>
    <row r="14" spans="1:10" x14ac:dyDescent="0.35">
      <c r="A14" t="s">
        <v>91</v>
      </c>
      <c r="B14" t="s">
        <v>55</v>
      </c>
      <c r="C14">
        <v>5</v>
      </c>
      <c r="E14">
        <v>0.95674220001092103</v>
      </c>
      <c r="F14" t="s">
        <v>55</v>
      </c>
      <c r="G14">
        <v>5</v>
      </c>
      <c r="I14" t="s">
        <v>597</v>
      </c>
      <c r="J14" t="s">
        <v>601</v>
      </c>
    </row>
    <row r="15" spans="1:10" x14ac:dyDescent="0.35">
      <c r="A15" s="1" t="s">
        <v>94</v>
      </c>
      <c r="B15" s="1" t="s">
        <v>61</v>
      </c>
      <c r="C15" s="1">
        <v>5</v>
      </c>
      <c r="E15">
        <v>1.2590847000246801</v>
      </c>
      <c r="F15" t="s">
        <v>55</v>
      </c>
      <c r="G15">
        <v>5</v>
      </c>
    </row>
    <row r="16" spans="1:10" x14ac:dyDescent="0.35">
      <c r="A16" t="s">
        <v>97</v>
      </c>
      <c r="B16" t="s">
        <v>55</v>
      </c>
      <c r="C16">
        <v>10</v>
      </c>
      <c r="E16">
        <v>1.03746890000184</v>
      </c>
      <c r="F16" t="s">
        <v>55</v>
      </c>
      <c r="G16">
        <v>5</v>
      </c>
      <c r="I16" t="s">
        <v>599</v>
      </c>
      <c r="J16">
        <f>10-5</f>
        <v>5</v>
      </c>
    </row>
    <row r="17" spans="1:11" x14ac:dyDescent="0.35">
      <c r="A17" t="s">
        <v>100</v>
      </c>
      <c r="B17" t="s">
        <v>55</v>
      </c>
      <c r="C17">
        <v>10</v>
      </c>
      <c r="E17">
        <v>1.3896622000029299</v>
      </c>
      <c r="F17" t="s">
        <v>55</v>
      </c>
      <c r="G17">
        <v>5</v>
      </c>
      <c r="I17" t="s">
        <v>598</v>
      </c>
      <c r="J17">
        <f>J12-J11</f>
        <v>0.22574924416316766</v>
      </c>
    </row>
    <row r="18" spans="1:11" x14ac:dyDescent="0.35">
      <c r="A18" t="s">
        <v>103</v>
      </c>
      <c r="B18" t="s">
        <v>55</v>
      </c>
      <c r="C18">
        <v>5</v>
      </c>
      <c r="E18">
        <v>1.6970719000091701</v>
      </c>
      <c r="F18" t="s">
        <v>55</v>
      </c>
      <c r="G18">
        <v>5</v>
      </c>
    </row>
    <row r="19" spans="1:11" x14ac:dyDescent="0.35">
      <c r="A19" t="s">
        <v>106</v>
      </c>
      <c r="B19" t="s">
        <v>55</v>
      </c>
      <c r="C19">
        <v>5</v>
      </c>
      <c r="E19">
        <v>1.0974966000066999</v>
      </c>
      <c r="F19" t="s">
        <v>55</v>
      </c>
      <c r="G19">
        <v>5</v>
      </c>
      <c r="I19" t="s">
        <v>600</v>
      </c>
      <c r="J19">
        <f>J17/J16</f>
        <v>4.5149848832633531E-2</v>
      </c>
      <c r="K19" t="s">
        <v>605</v>
      </c>
    </row>
    <row r="20" spans="1:11" x14ac:dyDescent="0.35">
      <c r="A20" t="s">
        <v>109</v>
      </c>
      <c r="B20" t="s">
        <v>55</v>
      </c>
      <c r="C20">
        <v>10</v>
      </c>
      <c r="E20">
        <v>1.47619960000156</v>
      </c>
      <c r="F20" t="s">
        <v>55</v>
      </c>
      <c r="G20">
        <v>5</v>
      </c>
      <c r="J20">
        <f>J19*1000</f>
        <v>45.149848832633531</v>
      </c>
      <c r="K20" t="s">
        <v>606</v>
      </c>
    </row>
    <row r="21" spans="1:11" x14ac:dyDescent="0.35">
      <c r="A21" t="s">
        <v>112</v>
      </c>
      <c r="B21" t="s">
        <v>55</v>
      </c>
      <c r="C21">
        <v>5</v>
      </c>
      <c r="E21">
        <v>1.2266639999870601</v>
      </c>
      <c r="F21" t="s">
        <v>55</v>
      </c>
      <c r="G21">
        <v>5</v>
      </c>
    </row>
    <row r="22" spans="1:11" x14ac:dyDescent="0.35">
      <c r="A22" t="s">
        <v>115</v>
      </c>
      <c r="B22" t="s">
        <v>55</v>
      </c>
      <c r="C22">
        <v>10</v>
      </c>
      <c r="E22">
        <v>1.81110280001303</v>
      </c>
      <c r="F22" t="s">
        <v>55</v>
      </c>
      <c r="G22">
        <v>5</v>
      </c>
    </row>
    <row r="23" spans="1:11" x14ac:dyDescent="0.35">
      <c r="A23" t="s">
        <v>118</v>
      </c>
      <c r="B23" t="s">
        <v>55</v>
      </c>
      <c r="C23">
        <v>5</v>
      </c>
      <c r="E23">
        <v>1.65747100001317</v>
      </c>
      <c r="F23" t="s">
        <v>55</v>
      </c>
      <c r="G23">
        <v>5</v>
      </c>
    </row>
    <row r="24" spans="1:11" x14ac:dyDescent="0.35">
      <c r="A24" t="s">
        <v>121</v>
      </c>
      <c r="B24" t="s">
        <v>55</v>
      </c>
      <c r="C24">
        <v>10</v>
      </c>
      <c r="E24">
        <v>1.8300199000223001</v>
      </c>
      <c r="F24" t="s">
        <v>55</v>
      </c>
      <c r="G24">
        <v>5</v>
      </c>
    </row>
    <row r="25" spans="1:11" x14ac:dyDescent="0.35">
      <c r="A25" t="s">
        <v>124</v>
      </c>
      <c r="B25" t="s">
        <v>55</v>
      </c>
      <c r="C25">
        <v>5</v>
      </c>
      <c r="E25">
        <v>1.0130332999979099</v>
      </c>
      <c r="F25" t="s">
        <v>55</v>
      </c>
      <c r="G25">
        <v>5</v>
      </c>
    </row>
    <row r="26" spans="1:11" x14ac:dyDescent="0.35">
      <c r="A26" t="s">
        <v>127</v>
      </c>
      <c r="B26" t="s">
        <v>55</v>
      </c>
      <c r="C26">
        <v>10</v>
      </c>
      <c r="E26">
        <v>1.27447779997601</v>
      </c>
      <c r="F26" t="s">
        <v>55</v>
      </c>
      <c r="G26">
        <v>5</v>
      </c>
    </row>
    <row r="27" spans="1:11" x14ac:dyDescent="0.35">
      <c r="A27" s="1" t="s">
        <v>130</v>
      </c>
      <c r="B27" s="1" t="s">
        <v>61</v>
      </c>
      <c r="C27" s="1">
        <v>10</v>
      </c>
      <c r="E27">
        <v>1.4402526000048901</v>
      </c>
      <c r="F27" t="s">
        <v>55</v>
      </c>
      <c r="G27">
        <v>5</v>
      </c>
    </row>
    <row r="28" spans="1:11" x14ac:dyDescent="0.35">
      <c r="A28" t="s">
        <v>133</v>
      </c>
      <c r="B28" t="s">
        <v>55</v>
      </c>
      <c r="C28">
        <v>10</v>
      </c>
      <c r="E28">
        <v>1.3309350000054101</v>
      </c>
      <c r="F28" t="s">
        <v>55</v>
      </c>
      <c r="G28">
        <v>5</v>
      </c>
    </row>
    <row r="29" spans="1:11" x14ac:dyDescent="0.35">
      <c r="A29" t="s">
        <v>136</v>
      </c>
      <c r="B29" t="s">
        <v>55</v>
      </c>
      <c r="C29">
        <v>10</v>
      </c>
      <c r="E29">
        <v>1.15653810001094</v>
      </c>
      <c r="F29" t="s">
        <v>55</v>
      </c>
      <c r="G29">
        <v>5</v>
      </c>
    </row>
    <row r="30" spans="1:11" x14ac:dyDescent="0.35">
      <c r="A30" t="s">
        <v>139</v>
      </c>
      <c r="B30" t="s">
        <v>55</v>
      </c>
      <c r="C30">
        <v>5</v>
      </c>
      <c r="E30">
        <v>1.14618999999947</v>
      </c>
      <c r="F30" t="s">
        <v>55</v>
      </c>
      <c r="G30">
        <v>5</v>
      </c>
    </row>
    <row r="31" spans="1:11" x14ac:dyDescent="0.35">
      <c r="A31" t="s">
        <v>142</v>
      </c>
      <c r="B31" t="s">
        <v>55</v>
      </c>
      <c r="C31">
        <v>5</v>
      </c>
      <c r="E31">
        <v>1.6235143000085299</v>
      </c>
      <c r="F31" t="s">
        <v>55</v>
      </c>
      <c r="G31">
        <v>5</v>
      </c>
    </row>
    <row r="32" spans="1:11" x14ac:dyDescent="0.35">
      <c r="A32" t="s">
        <v>145</v>
      </c>
      <c r="B32" t="s">
        <v>55</v>
      </c>
      <c r="C32">
        <v>10</v>
      </c>
      <c r="E32">
        <v>1.14419160000397</v>
      </c>
      <c r="F32" t="s">
        <v>55</v>
      </c>
      <c r="G32">
        <v>5</v>
      </c>
    </row>
    <row r="33" spans="1:7" x14ac:dyDescent="0.35">
      <c r="A33" t="s">
        <v>148</v>
      </c>
      <c r="B33" t="s">
        <v>55</v>
      </c>
      <c r="C33">
        <v>5</v>
      </c>
      <c r="E33">
        <v>1.31034359999466</v>
      </c>
      <c r="F33" t="s">
        <v>55</v>
      </c>
      <c r="G33">
        <v>5</v>
      </c>
    </row>
    <row r="34" spans="1:7" x14ac:dyDescent="0.35">
      <c r="A34" t="s">
        <v>151</v>
      </c>
      <c r="B34" t="s">
        <v>55</v>
      </c>
      <c r="C34">
        <v>10</v>
      </c>
      <c r="E34">
        <v>1.3237910000025199</v>
      </c>
      <c r="F34" t="s">
        <v>55</v>
      </c>
      <c r="G34">
        <v>5</v>
      </c>
    </row>
    <row r="35" spans="1:7" x14ac:dyDescent="0.35">
      <c r="A35" t="s">
        <v>154</v>
      </c>
      <c r="B35" t="s">
        <v>55</v>
      </c>
      <c r="C35">
        <v>10</v>
      </c>
      <c r="E35">
        <v>1.3198445999878401</v>
      </c>
      <c r="F35" t="s">
        <v>55</v>
      </c>
      <c r="G35">
        <v>5</v>
      </c>
    </row>
    <row r="36" spans="1:7" x14ac:dyDescent="0.35">
      <c r="A36" t="s">
        <v>157</v>
      </c>
      <c r="B36" t="s">
        <v>55</v>
      </c>
      <c r="C36">
        <v>10</v>
      </c>
      <c r="E36">
        <v>1.62823219998972</v>
      </c>
      <c r="F36" t="s">
        <v>55</v>
      </c>
      <c r="G36">
        <v>5</v>
      </c>
    </row>
    <row r="37" spans="1:7" x14ac:dyDescent="0.35">
      <c r="A37" t="s">
        <v>160</v>
      </c>
      <c r="B37" t="s">
        <v>55</v>
      </c>
      <c r="C37">
        <v>5</v>
      </c>
      <c r="E37">
        <v>1.1894267999741699</v>
      </c>
      <c r="F37" t="s">
        <v>55</v>
      </c>
      <c r="G37">
        <v>5</v>
      </c>
    </row>
    <row r="38" spans="1:7" x14ac:dyDescent="0.35">
      <c r="A38" t="s">
        <v>163</v>
      </c>
      <c r="B38" t="s">
        <v>55</v>
      </c>
      <c r="C38">
        <v>5</v>
      </c>
      <c r="E38">
        <v>1.37122150001232</v>
      </c>
      <c r="F38" t="s">
        <v>55</v>
      </c>
      <c r="G38">
        <v>5</v>
      </c>
    </row>
    <row r="39" spans="1:7" x14ac:dyDescent="0.35">
      <c r="A39" s="1" t="s">
        <v>166</v>
      </c>
      <c r="B39" s="1" t="s">
        <v>61</v>
      </c>
      <c r="C39" s="1">
        <v>10</v>
      </c>
      <c r="E39">
        <v>1.57590950001031</v>
      </c>
      <c r="F39" t="s">
        <v>55</v>
      </c>
      <c r="G39">
        <v>5</v>
      </c>
    </row>
    <row r="40" spans="1:7" x14ac:dyDescent="0.35">
      <c r="A40" t="s">
        <v>169</v>
      </c>
      <c r="B40" t="s">
        <v>55</v>
      </c>
      <c r="C40">
        <v>5</v>
      </c>
      <c r="E40">
        <v>1.53885000001173</v>
      </c>
      <c r="F40" t="s">
        <v>55</v>
      </c>
      <c r="G40">
        <v>5</v>
      </c>
    </row>
    <row r="41" spans="1:7" x14ac:dyDescent="0.35">
      <c r="A41" t="s">
        <v>172</v>
      </c>
      <c r="B41" t="s">
        <v>55</v>
      </c>
      <c r="C41">
        <v>10</v>
      </c>
      <c r="E41">
        <v>1.12571610001032</v>
      </c>
      <c r="F41" t="s">
        <v>55</v>
      </c>
      <c r="G41">
        <v>5</v>
      </c>
    </row>
    <row r="42" spans="1:7" x14ac:dyDescent="0.35">
      <c r="A42" t="s">
        <v>175</v>
      </c>
      <c r="B42" t="s">
        <v>55</v>
      </c>
      <c r="C42">
        <v>10</v>
      </c>
      <c r="E42">
        <v>1.3900902000023001</v>
      </c>
      <c r="F42" t="s">
        <v>55</v>
      </c>
      <c r="G42">
        <v>5</v>
      </c>
    </row>
    <row r="43" spans="1:7" x14ac:dyDescent="0.35">
      <c r="A43" t="s">
        <v>178</v>
      </c>
      <c r="B43" t="s">
        <v>55</v>
      </c>
      <c r="C43">
        <v>10</v>
      </c>
      <c r="E43">
        <v>1.8539923999924199</v>
      </c>
      <c r="F43" t="s">
        <v>55</v>
      </c>
      <c r="G43">
        <v>5</v>
      </c>
    </row>
    <row r="44" spans="1:7" x14ac:dyDescent="0.35">
      <c r="A44" t="s">
        <v>181</v>
      </c>
      <c r="B44" t="s">
        <v>55</v>
      </c>
      <c r="C44">
        <v>5</v>
      </c>
      <c r="E44">
        <v>1.1756630000018</v>
      </c>
      <c r="F44" t="s">
        <v>55</v>
      </c>
      <c r="G44">
        <v>5</v>
      </c>
    </row>
    <row r="45" spans="1:7" x14ac:dyDescent="0.35">
      <c r="A45" t="s">
        <v>184</v>
      </c>
      <c r="B45" t="s">
        <v>55</v>
      </c>
      <c r="C45">
        <v>10</v>
      </c>
      <c r="E45">
        <v>1.4740981000068101</v>
      </c>
      <c r="F45" t="s">
        <v>55</v>
      </c>
      <c r="G45">
        <v>5</v>
      </c>
    </row>
    <row r="46" spans="1:7" x14ac:dyDescent="0.35">
      <c r="A46" t="s">
        <v>187</v>
      </c>
      <c r="B46" t="s">
        <v>55</v>
      </c>
      <c r="C46">
        <v>10</v>
      </c>
      <c r="E46">
        <v>1.7415885000082101</v>
      </c>
      <c r="F46" t="s">
        <v>55</v>
      </c>
      <c r="G46">
        <v>5</v>
      </c>
    </row>
    <row r="47" spans="1:7" x14ac:dyDescent="0.35">
      <c r="A47" t="s">
        <v>189</v>
      </c>
      <c r="B47" t="s">
        <v>55</v>
      </c>
      <c r="C47">
        <v>10</v>
      </c>
      <c r="E47">
        <v>1.18288979999488</v>
      </c>
      <c r="F47" t="s">
        <v>55</v>
      </c>
      <c r="G47">
        <v>5</v>
      </c>
    </row>
    <row r="48" spans="1:7" x14ac:dyDescent="0.35">
      <c r="A48" t="s">
        <v>192</v>
      </c>
      <c r="B48" t="s">
        <v>55</v>
      </c>
      <c r="C48">
        <v>10</v>
      </c>
      <c r="E48">
        <v>1.2602031999849701</v>
      </c>
      <c r="F48" t="s">
        <v>55</v>
      </c>
      <c r="G48">
        <v>5</v>
      </c>
    </row>
    <row r="49" spans="1:7" x14ac:dyDescent="0.35">
      <c r="A49" t="s">
        <v>195</v>
      </c>
      <c r="B49" t="s">
        <v>55</v>
      </c>
      <c r="C49">
        <v>5</v>
      </c>
      <c r="E49">
        <v>1.3557386999891601</v>
      </c>
      <c r="F49" t="s">
        <v>55</v>
      </c>
      <c r="G49">
        <v>5</v>
      </c>
    </row>
    <row r="50" spans="1:7" x14ac:dyDescent="0.35">
      <c r="A50" s="1" t="s">
        <v>198</v>
      </c>
      <c r="B50" s="1" t="s">
        <v>61</v>
      </c>
      <c r="C50" s="1">
        <v>10</v>
      </c>
      <c r="E50">
        <v>1.4405994999979099</v>
      </c>
      <c r="F50" t="s">
        <v>55</v>
      </c>
      <c r="G50">
        <v>5</v>
      </c>
    </row>
    <row r="51" spans="1:7" x14ac:dyDescent="0.35">
      <c r="A51" t="s">
        <v>201</v>
      </c>
      <c r="B51" t="s">
        <v>55</v>
      </c>
      <c r="C51">
        <v>5</v>
      </c>
      <c r="E51">
        <v>1.4940927999850799</v>
      </c>
      <c r="F51" t="s">
        <v>55</v>
      </c>
      <c r="G51">
        <v>5</v>
      </c>
    </row>
    <row r="52" spans="1:7" x14ac:dyDescent="0.35">
      <c r="A52" t="s">
        <v>204</v>
      </c>
      <c r="B52" t="s">
        <v>55</v>
      </c>
      <c r="C52">
        <v>5</v>
      </c>
      <c r="E52">
        <v>1.1566702000272899</v>
      </c>
      <c r="F52" t="s">
        <v>55</v>
      </c>
      <c r="G52">
        <v>5</v>
      </c>
    </row>
    <row r="53" spans="1:7" x14ac:dyDescent="0.35">
      <c r="A53" t="s">
        <v>207</v>
      </c>
      <c r="B53" t="s">
        <v>55</v>
      </c>
      <c r="C53">
        <v>5</v>
      </c>
      <c r="E53">
        <v>1.3235009000054501</v>
      </c>
      <c r="F53" t="s">
        <v>55</v>
      </c>
      <c r="G53">
        <v>5</v>
      </c>
    </row>
    <row r="54" spans="1:7" x14ac:dyDescent="0.35">
      <c r="A54" t="s">
        <v>210</v>
      </c>
      <c r="B54" t="s">
        <v>55</v>
      </c>
      <c r="C54">
        <v>10</v>
      </c>
      <c r="E54">
        <v>1.57214730000123</v>
      </c>
      <c r="F54" t="s">
        <v>55</v>
      </c>
      <c r="G54">
        <v>5</v>
      </c>
    </row>
    <row r="55" spans="1:7" x14ac:dyDescent="0.35">
      <c r="A55" t="s">
        <v>212</v>
      </c>
      <c r="B55" t="s">
        <v>55</v>
      </c>
      <c r="C55">
        <v>10</v>
      </c>
      <c r="E55">
        <v>1.18386479999753</v>
      </c>
      <c r="F55" t="s">
        <v>55</v>
      </c>
      <c r="G55">
        <v>5</v>
      </c>
    </row>
    <row r="56" spans="1:7" x14ac:dyDescent="0.35">
      <c r="A56" t="s">
        <v>214</v>
      </c>
      <c r="B56" t="s">
        <v>55</v>
      </c>
      <c r="C56">
        <v>5</v>
      </c>
      <c r="E56">
        <v>1.21899640001356</v>
      </c>
      <c r="F56" t="s">
        <v>55</v>
      </c>
      <c r="G56">
        <v>5</v>
      </c>
    </row>
    <row r="57" spans="1:7" x14ac:dyDescent="0.35">
      <c r="A57" t="s">
        <v>215</v>
      </c>
      <c r="B57" t="s">
        <v>55</v>
      </c>
      <c r="C57">
        <v>10</v>
      </c>
      <c r="E57">
        <v>1.2780332000111201</v>
      </c>
      <c r="F57" t="s">
        <v>55</v>
      </c>
      <c r="G57">
        <v>5</v>
      </c>
    </row>
    <row r="58" spans="1:7" x14ac:dyDescent="0.35">
      <c r="A58" t="s">
        <v>218</v>
      </c>
      <c r="B58" t="s">
        <v>55</v>
      </c>
      <c r="C58">
        <v>5</v>
      </c>
      <c r="E58">
        <v>1.2226634999969901</v>
      </c>
      <c r="F58" t="s">
        <v>55</v>
      </c>
      <c r="G58">
        <v>5</v>
      </c>
    </row>
    <row r="59" spans="1:7" x14ac:dyDescent="0.35">
      <c r="A59" t="s">
        <v>221</v>
      </c>
      <c r="B59" t="s">
        <v>55</v>
      </c>
      <c r="C59">
        <v>10</v>
      </c>
      <c r="E59">
        <v>1.17896859999746</v>
      </c>
      <c r="F59" t="s">
        <v>55</v>
      </c>
      <c r="G59">
        <v>5</v>
      </c>
    </row>
    <row r="60" spans="1:7" x14ac:dyDescent="0.35">
      <c r="A60" t="s">
        <v>224</v>
      </c>
      <c r="B60" t="s">
        <v>55</v>
      </c>
      <c r="C60">
        <v>10</v>
      </c>
      <c r="E60">
        <v>1.20862829999532</v>
      </c>
      <c r="F60" t="s">
        <v>55</v>
      </c>
      <c r="G60">
        <v>5</v>
      </c>
    </row>
    <row r="61" spans="1:7" x14ac:dyDescent="0.35">
      <c r="A61" t="s">
        <v>227</v>
      </c>
      <c r="B61" t="s">
        <v>55</v>
      </c>
      <c r="C61">
        <v>5</v>
      </c>
      <c r="E61">
        <v>1.1622280000010501</v>
      </c>
      <c r="F61" t="s">
        <v>55</v>
      </c>
      <c r="G61">
        <v>5</v>
      </c>
    </row>
    <row r="62" spans="1:7" x14ac:dyDescent="0.35">
      <c r="A62" t="s">
        <v>230</v>
      </c>
      <c r="B62" t="s">
        <v>55</v>
      </c>
      <c r="C62">
        <v>5</v>
      </c>
      <c r="E62">
        <v>1.0277365999936501</v>
      </c>
      <c r="F62" t="s">
        <v>55</v>
      </c>
      <c r="G62">
        <v>5</v>
      </c>
    </row>
    <row r="63" spans="1:7" x14ac:dyDescent="0.35">
      <c r="A63" t="s">
        <v>233</v>
      </c>
      <c r="B63" t="s">
        <v>55</v>
      </c>
      <c r="C63">
        <v>5</v>
      </c>
      <c r="E63">
        <v>1.5214588000089799</v>
      </c>
      <c r="F63" t="s">
        <v>55</v>
      </c>
      <c r="G63">
        <v>5</v>
      </c>
    </row>
    <row r="64" spans="1:7" x14ac:dyDescent="0.35">
      <c r="A64" s="1" t="s">
        <v>236</v>
      </c>
      <c r="B64" s="1" t="s">
        <v>61</v>
      </c>
      <c r="C64" s="1">
        <v>5</v>
      </c>
      <c r="E64">
        <v>1.1470880999986499</v>
      </c>
      <c r="F64" t="s">
        <v>55</v>
      </c>
      <c r="G64">
        <v>5</v>
      </c>
    </row>
    <row r="65" spans="1:7" x14ac:dyDescent="0.35">
      <c r="A65" t="s">
        <v>238</v>
      </c>
      <c r="B65" t="s">
        <v>55</v>
      </c>
      <c r="C65">
        <v>5</v>
      </c>
      <c r="E65">
        <v>1.4253166000125901</v>
      </c>
      <c r="F65" t="s">
        <v>55</v>
      </c>
      <c r="G65">
        <v>5</v>
      </c>
    </row>
    <row r="66" spans="1:7" x14ac:dyDescent="0.35">
      <c r="A66" t="s">
        <v>241</v>
      </c>
      <c r="B66" t="s">
        <v>55</v>
      </c>
      <c r="C66">
        <v>5</v>
      </c>
      <c r="E66">
        <v>1.2754827000026101</v>
      </c>
      <c r="F66" t="s">
        <v>55</v>
      </c>
      <c r="G66">
        <v>5</v>
      </c>
    </row>
    <row r="67" spans="1:7" x14ac:dyDescent="0.35">
      <c r="A67" t="s">
        <v>244</v>
      </c>
      <c r="B67" t="s">
        <v>55</v>
      </c>
      <c r="C67">
        <v>5</v>
      </c>
      <c r="E67">
        <v>1.34054920001653</v>
      </c>
      <c r="F67" t="s">
        <v>55</v>
      </c>
      <c r="G67">
        <v>5</v>
      </c>
    </row>
    <row r="68" spans="1:7" x14ac:dyDescent="0.35">
      <c r="A68" t="s">
        <v>247</v>
      </c>
      <c r="B68" t="s">
        <v>55</v>
      </c>
      <c r="C68">
        <v>10</v>
      </c>
      <c r="E68">
        <v>1.3075015999784201</v>
      </c>
      <c r="F68" t="s">
        <v>55</v>
      </c>
      <c r="G68">
        <v>5</v>
      </c>
    </row>
    <row r="69" spans="1:7" x14ac:dyDescent="0.35">
      <c r="A69" t="s">
        <v>250</v>
      </c>
      <c r="B69" t="s">
        <v>55</v>
      </c>
      <c r="C69">
        <v>5</v>
      </c>
      <c r="E69">
        <v>1.29383710000547</v>
      </c>
      <c r="F69" t="s">
        <v>55</v>
      </c>
      <c r="G69">
        <v>5</v>
      </c>
    </row>
    <row r="70" spans="1:7" x14ac:dyDescent="0.35">
      <c r="A70" t="s">
        <v>252</v>
      </c>
      <c r="B70" t="s">
        <v>55</v>
      </c>
      <c r="C70">
        <v>10</v>
      </c>
      <c r="E70">
        <v>1.60919290001038</v>
      </c>
      <c r="F70" t="s">
        <v>55</v>
      </c>
      <c r="G70">
        <v>5</v>
      </c>
    </row>
    <row r="71" spans="1:7" x14ac:dyDescent="0.35">
      <c r="A71" t="s">
        <v>255</v>
      </c>
      <c r="B71" t="s">
        <v>55</v>
      </c>
      <c r="C71">
        <v>10</v>
      </c>
      <c r="E71">
        <v>1.1243351000011801</v>
      </c>
      <c r="F71" t="s">
        <v>55</v>
      </c>
      <c r="G71">
        <v>5</v>
      </c>
    </row>
    <row r="72" spans="1:7" x14ac:dyDescent="0.35">
      <c r="A72" t="s">
        <v>258</v>
      </c>
      <c r="B72" t="s">
        <v>55</v>
      </c>
      <c r="C72">
        <v>5</v>
      </c>
      <c r="E72">
        <v>1.3940356000093701</v>
      </c>
      <c r="F72" t="s">
        <v>55</v>
      </c>
      <c r="G72">
        <v>5</v>
      </c>
    </row>
    <row r="73" spans="1:7" x14ac:dyDescent="0.35">
      <c r="A73" t="s">
        <v>261</v>
      </c>
      <c r="B73" t="s">
        <v>55</v>
      </c>
      <c r="C73">
        <v>5</v>
      </c>
      <c r="E73">
        <v>1.27310360001865</v>
      </c>
      <c r="F73" t="s">
        <v>55</v>
      </c>
      <c r="G73">
        <v>5</v>
      </c>
    </row>
    <row r="74" spans="1:7" x14ac:dyDescent="0.35">
      <c r="A74" t="s">
        <v>263</v>
      </c>
      <c r="B74" t="s">
        <v>55</v>
      </c>
      <c r="C74">
        <v>5</v>
      </c>
      <c r="E74">
        <v>1.1391466999775699</v>
      </c>
      <c r="F74" t="s">
        <v>55</v>
      </c>
      <c r="G74">
        <v>5</v>
      </c>
    </row>
    <row r="75" spans="1:7" x14ac:dyDescent="0.35">
      <c r="A75" t="s">
        <v>265</v>
      </c>
      <c r="B75" t="s">
        <v>55</v>
      </c>
      <c r="C75">
        <v>10</v>
      </c>
      <c r="E75">
        <v>1.0941773999947999</v>
      </c>
      <c r="F75" t="s">
        <v>55</v>
      </c>
      <c r="G75">
        <v>5</v>
      </c>
    </row>
    <row r="76" spans="1:7" x14ac:dyDescent="0.35">
      <c r="A76" t="s">
        <v>268</v>
      </c>
      <c r="B76" t="s">
        <v>55</v>
      </c>
      <c r="C76">
        <v>5</v>
      </c>
      <c r="E76">
        <v>1.1473806999856599</v>
      </c>
      <c r="F76" t="s">
        <v>55</v>
      </c>
      <c r="G76">
        <v>5</v>
      </c>
    </row>
    <row r="77" spans="1:7" x14ac:dyDescent="0.35">
      <c r="A77" t="s">
        <v>271</v>
      </c>
      <c r="B77" t="s">
        <v>55</v>
      </c>
      <c r="C77">
        <v>5</v>
      </c>
      <c r="E77">
        <v>1.35843880000174</v>
      </c>
      <c r="F77" t="s">
        <v>55</v>
      </c>
      <c r="G77">
        <v>5</v>
      </c>
    </row>
    <row r="78" spans="1:7" x14ac:dyDescent="0.35">
      <c r="A78" s="1" t="s">
        <v>274</v>
      </c>
      <c r="B78" s="1" t="s">
        <v>61</v>
      </c>
      <c r="C78" s="1">
        <v>5</v>
      </c>
      <c r="E78">
        <v>1.8396092000184501</v>
      </c>
      <c r="F78" t="s">
        <v>55</v>
      </c>
      <c r="G78">
        <v>5</v>
      </c>
    </row>
    <row r="79" spans="1:7" x14ac:dyDescent="0.35">
      <c r="A79" t="s">
        <v>277</v>
      </c>
      <c r="B79" t="s">
        <v>55</v>
      </c>
      <c r="C79">
        <v>10</v>
      </c>
      <c r="E79">
        <v>1.28506240001297</v>
      </c>
      <c r="F79" t="s">
        <v>55</v>
      </c>
      <c r="G79">
        <v>5</v>
      </c>
    </row>
    <row r="80" spans="1:7" x14ac:dyDescent="0.35">
      <c r="A80" s="1" t="s">
        <v>280</v>
      </c>
      <c r="B80" s="1" t="s">
        <v>61</v>
      </c>
      <c r="C80" s="1">
        <v>10</v>
      </c>
      <c r="E80">
        <v>1.4613047999737301</v>
      </c>
      <c r="F80" t="s">
        <v>55</v>
      </c>
      <c r="G80">
        <v>5</v>
      </c>
    </row>
    <row r="81" spans="1:7" x14ac:dyDescent="0.35">
      <c r="A81" t="s">
        <v>283</v>
      </c>
      <c r="B81" t="s">
        <v>55</v>
      </c>
      <c r="C81">
        <v>10</v>
      </c>
      <c r="E81">
        <v>0.88939750002464202</v>
      </c>
      <c r="F81" t="s">
        <v>55</v>
      </c>
      <c r="G81">
        <v>5</v>
      </c>
    </row>
    <row r="82" spans="1:7" x14ac:dyDescent="0.35">
      <c r="A82" t="s">
        <v>286</v>
      </c>
      <c r="B82" t="s">
        <v>55</v>
      </c>
      <c r="C82">
        <v>5</v>
      </c>
      <c r="E82">
        <v>1.14488780000829</v>
      </c>
      <c r="F82" t="s">
        <v>55</v>
      </c>
      <c r="G82">
        <v>5</v>
      </c>
    </row>
    <row r="83" spans="1:7" x14ac:dyDescent="0.35">
      <c r="A83" t="s">
        <v>289</v>
      </c>
      <c r="B83" t="s">
        <v>55</v>
      </c>
      <c r="C83">
        <v>5</v>
      </c>
      <c r="E83">
        <v>1.26160900000832</v>
      </c>
      <c r="F83" t="s">
        <v>55</v>
      </c>
      <c r="G83">
        <v>5</v>
      </c>
    </row>
    <row r="84" spans="1:7" x14ac:dyDescent="0.35">
      <c r="A84" t="s">
        <v>292</v>
      </c>
      <c r="B84" t="s">
        <v>55</v>
      </c>
      <c r="C84">
        <v>10</v>
      </c>
      <c r="E84">
        <v>1.42208499999833</v>
      </c>
      <c r="F84" t="s">
        <v>55</v>
      </c>
      <c r="G84">
        <v>5</v>
      </c>
    </row>
    <row r="85" spans="1:7" x14ac:dyDescent="0.35">
      <c r="A85" t="s">
        <v>295</v>
      </c>
      <c r="B85" t="s">
        <v>55</v>
      </c>
      <c r="C85">
        <v>5</v>
      </c>
      <c r="E85">
        <v>1.0702714999788401</v>
      </c>
      <c r="F85" t="s">
        <v>55</v>
      </c>
      <c r="G85">
        <v>5</v>
      </c>
    </row>
    <row r="86" spans="1:7" x14ac:dyDescent="0.35">
      <c r="A86" t="s">
        <v>298</v>
      </c>
      <c r="B86" t="s">
        <v>55</v>
      </c>
      <c r="C86">
        <v>5</v>
      </c>
      <c r="E86">
        <v>1.04308040000614</v>
      </c>
      <c r="F86" t="s">
        <v>55</v>
      </c>
      <c r="G86">
        <v>5</v>
      </c>
    </row>
    <row r="87" spans="1:7" x14ac:dyDescent="0.35">
      <c r="A87" t="s">
        <v>301</v>
      </c>
      <c r="B87" t="s">
        <v>55</v>
      </c>
      <c r="C87">
        <v>5</v>
      </c>
      <c r="E87">
        <v>1.2111740999971501</v>
      </c>
      <c r="F87" t="s">
        <v>55</v>
      </c>
      <c r="G87">
        <v>5</v>
      </c>
    </row>
    <row r="88" spans="1:7" x14ac:dyDescent="0.35">
      <c r="A88" t="s">
        <v>304</v>
      </c>
      <c r="B88" t="s">
        <v>55</v>
      </c>
      <c r="C88">
        <v>10</v>
      </c>
      <c r="E88">
        <v>1.2382245000044301</v>
      </c>
      <c r="F88" t="s">
        <v>55</v>
      </c>
      <c r="G88">
        <v>5</v>
      </c>
    </row>
    <row r="89" spans="1:7" x14ac:dyDescent="0.35">
      <c r="A89" t="s">
        <v>307</v>
      </c>
      <c r="B89" t="s">
        <v>55</v>
      </c>
      <c r="C89">
        <v>10</v>
      </c>
      <c r="E89">
        <v>1.2598987999954201</v>
      </c>
      <c r="F89" t="s">
        <v>55</v>
      </c>
      <c r="G89">
        <v>5</v>
      </c>
    </row>
    <row r="90" spans="1:7" x14ac:dyDescent="0.35">
      <c r="A90" t="s">
        <v>310</v>
      </c>
      <c r="B90" t="s">
        <v>55</v>
      </c>
      <c r="C90">
        <v>5</v>
      </c>
      <c r="E90">
        <v>1.09266530000604</v>
      </c>
      <c r="F90" t="s">
        <v>55</v>
      </c>
      <c r="G90">
        <v>5</v>
      </c>
    </row>
    <row r="91" spans="1:7" x14ac:dyDescent="0.35">
      <c r="A91" t="s">
        <v>313</v>
      </c>
      <c r="B91" t="s">
        <v>55</v>
      </c>
      <c r="C91">
        <v>10</v>
      </c>
      <c r="E91">
        <v>1.2393286000005901</v>
      </c>
      <c r="F91" t="s">
        <v>55</v>
      </c>
      <c r="G91">
        <v>5</v>
      </c>
    </row>
    <row r="92" spans="1:7" x14ac:dyDescent="0.35">
      <c r="A92" t="s">
        <v>316</v>
      </c>
      <c r="B92" t="s">
        <v>55</v>
      </c>
      <c r="C92">
        <v>10</v>
      </c>
      <c r="E92">
        <v>1.2208795000042301</v>
      </c>
      <c r="F92" t="s">
        <v>55</v>
      </c>
      <c r="G92">
        <v>5</v>
      </c>
    </row>
    <row r="93" spans="1:7" x14ac:dyDescent="0.35">
      <c r="A93" t="s">
        <v>319</v>
      </c>
      <c r="B93" t="s">
        <v>55</v>
      </c>
      <c r="C93">
        <v>5</v>
      </c>
      <c r="E93">
        <v>1.60625839998829</v>
      </c>
      <c r="F93" t="s">
        <v>55</v>
      </c>
      <c r="G93">
        <v>5</v>
      </c>
    </row>
    <row r="94" spans="1:7" x14ac:dyDescent="0.35">
      <c r="A94" t="s">
        <v>322</v>
      </c>
      <c r="B94" t="s">
        <v>55</v>
      </c>
      <c r="C94">
        <v>10</v>
      </c>
      <c r="E94">
        <v>1.44274259998928</v>
      </c>
      <c r="F94" t="s">
        <v>55</v>
      </c>
      <c r="G94">
        <v>5</v>
      </c>
    </row>
    <row r="95" spans="1:7" x14ac:dyDescent="0.35">
      <c r="A95" s="1" t="s">
        <v>325</v>
      </c>
      <c r="B95" s="1" t="s">
        <v>61</v>
      </c>
      <c r="C95" s="1">
        <v>5</v>
      </c>
      <c r="E95">
        <v>1.2541093000036101</v>
      </c>
      <c r="F95" t="s">
        <v>55</v>
      </c>
      <c r="G95">
        <v>5</v>
      </c>
    </row>
    <row r="96" spans="1:7" x14ac:dyDescent="0.35">
      <c r="A96" t="s">
        <v>326</v>
      </c>
      <c r="B96" t="s">
        <v>55</v>
      </c>
      <c r="C96">
        <v>10</v>
      </c>
      <c r="E96">
        <v>1.40834510000422</v>
      </c>
      <c r="F96" t="s">
        <v>55</v>
      </c>
      <c r="G96">
        <v>5</v>
      </c>
    </row>
    <row r="97" spans="1:7" x14ac:dyDescent="0.35">
      <c r="A97" t="s">
        <v>329</v>
      </c>
      <c r="B97" t="s">
        <v>55</v>
      </c>
      <c r="C97">
        <v>5</v>
      </c>
      <c r="E97">
        <v>1.4720912000047901</v>
      </c>
      <c r="F97" t="s">
        <v>55</v>
      </c>
      <c r="G97">
        <v>5</v>
      </c>
    </row>
    <row r="98" spans="1:7" x14ac:dyDescent="0.35">
      <c r="A98" t="s">
        <v>332</v>
      </c>
      <c r="B98" t="s">
        <v>55</v>
      </c>
      <c r="C98">
        <v>5</v>
      </c>
      <c r="E98">
        <v>1.09383490000618</v>
      </c>
      <c r="F98" t="s">
        <v>55</v>
      </c>
      <c r="G98">
        <v>5</v>
      </c>
    </row>
    <row r="99" spans="1:7" x14ac:dyDescent="0.35">
      <c r="A99" t="s">
        <v>334</v>
      </c>
      <c r="B99" t="s">
        <v>55</v>
      </c>
      <c r="C99">
        <v>10</v>
      </c>
      <c r="E99">
        <v>1.28828540001995</v>
      </c>
      <c r="F99" t="s">
        <v>55</v>
      </c>
      <c r="G99">
        <v>5</v>
      </c>
    </row>
    <row r="100" spans="1:7" x14ac:dyDescent="0.35">
      <c r="A100" t="s">
        <v>337</v>
      </c>
      <c r="B100" t="s">
        <v>55</v>
      </c>
      <c r="C100">
        <v>10</v>
      </c>
      <c r="E100">
        <v>1.3585637999931299</v>
      </c>
      <c r="F100" t="s">
        <v>55</v>
      </c>
      <c r="G100">
        <v>5</v>
      </c>
    </row>
    <row r="101" spans="1:7" x14ac:dyDescent="0.35">
      <c r="A101" t="s">
        <v>340</v>
      </c>
      <c r="B101" t="s">
        <v>55</v>
      </c>
      <c r="C101">
        <v>5</v>
      </c>
      <c r="E101">
        <v>4.23616289999336</v>
      </c>
      <c r="F101" t="s">
        <v>55</v>
      </c>
      <c r="G101">
        <v>10</v>
      </c>
    </row>
    <row r="102" spans="1:7" x14ac:dyDescent="0.35">
      <c r="A102" t="s">
        <v>343</v>
      </c>
      <c r="B102" t="s">
        <v>55</v>
      </c>
      <c r="C102">
        <v>10</v>
      </c>
      <c r="E102">
        <v>1.4314376999973299</v>
      </c>
      <c r="F102" t="s">
        <v>55</v>
      </c>
      <c r="G102">
        <v>10</v>
      </c>
    </row>
    <row r="103" spans="1:7" x14ac:dyDescent="0.35">
      <c r="A103" t="s">
        <v>346</v>
      </c>
      <c r="B103" t="s">
        <v>55</v>
      </c>
      <c r="C103">
        <v>10</v>
      </c>
      <c r="E103">
        <v>1.2320810999954099</v>
      </c>
      <c r="F103" t="s">
        <v>55</v>
      </c>
      <c r="G103">
        <v>10</v>
      </c>
    </row>
    <row r="104" spans="1:7" x14ac:dyDescent="0.35">
      <c r="A104" t="s">
        <v>348</v>
      </c>
      <c r="B104" t="s">
        <v>55</v>
      </c>
      <c r="C104">
        <v>5</v>
      </c>
      <c r="E104">
        <v>1.9561306000105101</v>
      </c>
      <c r="F104" t="s">
        <v>55</v>
      </c>
      <c r="G104">
        <v>10</v>
      </c>
    </row>
    <row r="105" spans="1:7" x14ac:dyDescent="0.35">
      <c r="A105" t="s">
        <v>351</v>
      </c>
      <c r="B105" t="s">
        <v>55</v>
      </c>
      <c r="C105">
        <v>10</v>
      </c>
      <c r="E105">
        <v>1.28116079999017</v>
      </c>
      <c r="F105" t="s">
        <v>55</v>
      </c>
      <c r="G105">
        <v>10</v>
      </c>
    </row>
    <row r="106" spans="1:7" x14ac:dyDescent="0.35">
      <c r="A106" t="s">
        <v>353</v>
      </c>
      <c r="B106" t="s">
        <v>55</v>
      </c>
      <c r="C106">
        <v>5</v>
      </c>
      <c r="E106">
        <v>1.56543129999772</v>
      </c>
      <c r="F106" t="s">
        <v>55</v>
      </c>
      <c r="G106">
        <v>10</v>
      </c>
    </row>
    <row r="107" spans="1:7" x14ac:dyDescent="0.35">
      <c r="A107" t="s">
        <v>355</v>
      </c>
      <c r="B107" t="s">
        <v>55</v>
      </c>
      <c r="C107">
        <v>5</v>
      </c>
      <c r="E107">
        <v>1.3569544999918399</v>
      </c>
      <c r="F107" t="s">
        <v>55</v>
      </c>
      <c r="G107">
        <v>10</v>
      </c>
    </row>
    <row r="108" spans="1:7" x14ac:dyDescent="0.35">
      <c r="A108" t="s">
        <v>358</v>
      </c>
      <c r="B108" t="s">
        <v>55</v>
      </c>
      <c r="C108">
        <v>10</v>
      </c>
      <c r="E108">
        <v>1.2671526000194699</v>
      </c>
      <c r="F108" t="s">
        <v>55</v>
      </c>
      <c r="G108">
        <v>10</v>
      </c>
    </row>
    <row r="109" spans="1:7" x14ac:dyDescent="0.35">
      <c r="A109" s="1" t="s">
        <v>361</v>
      </c>
      <c r="B109" s="1" t="s">
        <v>61</v>
      </c>
      <c r="C109" s="1">
        <v>5</v>
      </c>
      <c r="E109">
        <v>1.4699095999822001</v>
      </c>
      <c r="F109" t="s">
        <v>55</v>
      </c>
      <c r="G109">
        <v>10</v>
      </c>
    </row>
    <row r="110" spans="1:7" x14ac:dyDescent="0.35">
      <c r="A110" t="s">
        <v>363</v>
      </c>
      <c r="B110" t="s">
        <v>55</v>
      </c>
      <c r="C110">
        <v>10</v>
      </c>
      <c r="E110">
        <v>1.14809479998075</v>
      </c>
      <c r="F110" t="s">
        <v>55</v>
      </c>
      <c r="G110">
        <v>10</v>
      </c>
    </row>
    <row r="111" spans="1:7" x14ac:dyDescent="0.35">
      <c r="A111" t="s">
        <v>366</v>
      </c>
      <c r="B111" t="s">
        <v>55</v>
      </c>
      <c r="C111">
        <v>5</v>
      </c>
      <c r="E111">
        <v>1.35142620000988</v>
      </c>
      <c r="F111" t="s">
        <v>55</v>
      </c>
      <c r="G111">
        <v>10</v>
      </c>
    </row>
    <row r="112" spans="1:7" x14ac:dyDescent="0.35">
      <c r="A112" t="s">
        <v>369</v>
      </c>
      <c r="B112" t="s">
        <v>55</v>
      </c>
      <c r="C112">
        <v>5</v>
      </c>
      <c r="E112">
        <v>1.18586990001495</v>
      </c>
      <c r="F112" t="s">
        <v>55</v>
      </c>
      <c r="G112">
        <v>10</v>
      </c>
    </row>
    <row r="113" spans="1:7" x14ac:dyDescent="0.35">
      <c r="A113" t="s">
        <v>372</v>
      </c>
      <c r="B113" t="s">
        <v>55</v>
      </c>
      <c r="C113">
        <v>5</v>
      </c>
      <c r="E113">
        <v>1.8320658000011401</v>
      </c>
      <c r="F113" t="s">
        <v>55</v>
      </c>
      <c r="G113">
        <v>10</v>
      </c>
    </row>
    <row r="114" spans="1:7" x14ac:dyDescent="0.35">
      <c r="A114" t="s">
        <v>375</v>
      </c>
      <c r="B114" t="s">
        <v>55</v>
      </c>
      <c r="C114">
        <v>10</v>
      </c>
      <c r="E114">
        <v>1.4361076999921301</v>
      </c>
      <c r="F114" t="s">
        <v>55</v>
      </c>
      <c r="G114">
        <v>10</v>
      </c>
    </row>
    <row r="115" spans="1:7" x14ac:dyDescent="0.35">
      <c r="A115" t="s">
        <v>377</v>
      </c>
      <c r="B115" t="s">
        <v>55</v>
      </c>
      <c r="C115">
        <v>10</v>
      </c>
      <c r="E115">
        <v>1.1629820000089199</v>
      </c>
      <c r="F115" t="s">
        <v>55</v>
      </c>
      <c r="G115">
        <v>10</v>
      </c>
    </row>
    <row r="116" spans="1:7" x14ac:dyDescent="0.35">
      <c r="A116" t="s">
        <v>380</v>
      </c>
      <c r="B116" t="s">
        <v>55</v>
      </c>
      <c r="C116">
        <v>5</v>
      </c>
      <c r="E116">
        <v>1.86553109998931</v>
      </c>
      <c r="F116" t="s">
        <v>55</v>
      </c>
      <c r="G116">
        <v>10</v>
      </c>
    </row>
    <row r="117" spans="1:7" x14ac:dyDescent="0.35">
      <c r="A117" t="s">
        <v>383</v>
      </c>
      <c r="B117" t="s">
        <v>55</v>
      </c>
      <c r="C117">
        <v>5</v>
      </c>
      <c r="E117">
        <v>1.3824553000158599</v>
      </c>
      <c r="F117" t="s">
        <v>55</v>
      </c>
      <c r="G117">
        <v>10</v>
      </c>
    </row>
    <row r="118" spans="1:7" x14ac:dyDescent="0.35">
      <c r="A118" t="s">
        <v>386</v>
      </c>
      <c r="B118" t="s">
        <v>55</v>
      </c>
      <c r="C118">
        <v>10</v>
      </c>
      <c r="E118">
        <v>1.3018418000137899</v>
      </c>
      <c r="F118" t="s">
        <v>55</v>
      </c>
      <c r="G118">
        <v>10</v>
      </c>
    </row>
    <row r="119" spans="1:7" x14ac:dyDescent="0.35">
      <c r="A119" t="s">
        <v>389</v>
      </c>
      <c r="B119" t="s">
        <v>55</v>
      </c>
      <c r="C119">
        <v>5</v>
      </c>
      <c r="E119">
        <v>1.13089900001068</v>
      </c>
      <c r="F119" t="s">
        <v>55</v>
      </c>
      <c r="G119">
        <v>10</v>
      </c>
    </row>
    <row r="120" spans="1:7" x14ac:dyDescent="0.35">
      <c r="A120" t="s">
        <v>391</v>
      </c>
      <c r="B120" t="s">
        <v>55</v>
      </c>
      <c r="C120">
        <v>5</v>
      </c>
      <c r="E120">
        <v>1.280171099992</v>
      </c>
      <c r="F120" t="s">
        <v>55</v>
      </c>
      <c r="G120">
        <v>10</v>
      </c>
    </row>
    <row r="121" spans="1:7" x14ac:dyDescent="0.35">
      <c r="A121" t="s">
        <v>394</v>
      </c>
      <c r="B121" t="s">
        <v>55</v>
      </c>
      <c r="C121">
        <v>5</v>
      </c>
      <c r="E121">
        <v>2.25184330000774</v>
      </c>
      <c r="F121" t="s">
        <v>55</v>
      </c>
      <c r="G121">
        <v>10</v>
      </c>
    </row>
    <row r="122" spans="1:7" x14ac:dyDescent="0.35">
      <c r="A122" t="s">
        <v>397</v>
      </c>
      <c r="B122" t="s">
        <v>55</v>
      </c>
      <c r="C122">
        <v>10</v>
      </c>
      <c r="E122">
        <v>4.16971470002317</v>
      </c>
      <c r="F122" t="s">
        <v>55</v>
      </c>
      <c r="G122">
        <v>10</v>
      </c>
    </row>
    <row r="123" spans="1:7" x14ac:dyDescent="0.35">
      <c r="A123" t="s">
        <v>400</v>
      </c>
      <c r="B123" t="s">
        <v>55</v>
      </c>
      <c r="C123">
        <v>5</v>
      </c>
      <c r="E123">
        <v>1.4527380999934301</v>
      </c>
      <c r="F123" t="s">
        <v>55</v>
      </c>
      <c r="G123">
        <v>10</v>
      </c>
    </row>
    <row r="124" spans="1:7" x14ac:dyDescent="0.35">
      <c r="A124" t="s">
        <v>403</v>
      </c>
      <c r="B124" t="s">
        <v>55</v>
      </c>
      <c r="C124">
        <v>10</v>
      </c>
      <c r="E124">
        <v>1.3697004999849001</v>
      </c>
      <c r="F124" t="s">
        <v>55</v>
      </c>
      <c r="G124">
        <v>10</v>
      </c>
    </row>
    <row r="125" spans="1:7" x14ac:dyDescent="0.35">
      <c r="A125" t="s">
        <v>406</v>
      </c>
      <c r="B125" t="s">
        <v>55</v>
      </c>
      <c r="C125">
        <v>5</v>
      </c>
      <c r="E125">
        <v>1.28806759999133</v>
      </c>
      <c r="F125" t="s">
        <v>55</v>
      </c>
      <c r="G125">
        <v>10</v>
      </c>
    </row>
    <row r="126" spans="1:7" x14ac:dyDescent="0.35">
      <c r="A126" t="s">
        <v>409</v>
      </c>
      <c r="B126" t="s">
        <v>55</v>
      </c>
      <c r="C126">
        <v>5</v>
      </c>
      <c r="E126">
        <v>1.1827833999996</v>
      </c>
      <c r="F126" t="s">
        <v>55</v>
      </c>
      <c r="G126">
        <v>10</v>
      </c>
    </row>
    <row r="127" spans="1:7" x14ac:dyDescent="0.35">
      <c r="A127" t="s">
        <v>412</v>
      </c>
      <c r="B127" t="s">
        <v>55</v>
      </c>
      <c r="C127">
        <v>5</v>
      </c>
      <c r="E127">
        <v>1.08558290000655</v>
      </c>
      <c r="F127" t="s">
        <v>55</v>
      </c>
      <c r="G127">
        <v>10</v>
      </c>
    </row>
    <row r="128" spans="1:7" x14ac:dyDescent="0.35">
      <c r="A128" t="s">
        <v>413</v>
      </c>
      <c r="B128" t="s">
        <v>55</v>
      </c>
      <c r="C128">
        <v>10</v>
      </c>
      <c r="E128">
        <v>1.2145276000082901</v>
      </c>
      <c r="F128" t="s">
        <v>55</v>
      </c>
      <c r="G128">
        <v>10</v>
      </c>
    </row>
    <row r="129" spans="1:7" x14ac:dyDescent="0.35">
      <c r="A129" t="s">
        <v>416</v>
      </c>
      <c r="B129" t="s">
        <v>55</v>
      </c>
      <c r="C129">
        <v>5</v>
      </c>
      <c r="E129">
        <v>2.56671740001183</v>
      </c>
      <c r="F129" t="s">
        <v>55</v>
      </c>
      <c r="G129">
        <v>10</v>
      </c>
    </row>
    <row r="130" spans="1:7" x14ac:dyDescent="0.35">
      <c r="A130" t="s">
        <v>418</v>
      </c>
      <c r="B130" t="s">
        <v>55</v>
      </c>
      <c r="C130">
        <v>10</v>
      </c>
      <c r="E130">
        <v>1.2815234000154301</v>
      </c>
      <c r="F130" t="s">
        <v>55</v>
      </c>
      <c r="G130">
        <v>10</v>
      </c>
    </row>
    <row r="131" spans="1:7" x14ac:dyDescent="0.35">
      <c r="A131" s="1" t="s">
        <v>421</v>
      </c>
      <c r="B131" s="1" t="s">
        <v>61</v>
      </c>
      <c r="C131" s="1">
        <v>10</v>
      </c>
      <c r="E131">
        <v>1.2212618000048601</v>
      </c>
      <c r="F131" t="s">
        <v>55</v>
      </c>
      <c r="G131">
        <v>10</v>
      </c>
    </row>
    <row r="132" spans="1:7" x14ac:dyDescent="0.35">
      <c r="A132" t="s">
        <v>424</v>
      </c>
      <c r="B132" t="s">
        <v>55</v>
      </c>
      <c r="C132">
        <v>10</v>
      </c>
      <c r="E132">
        <v>1.2700607999868201</v>
      </c>
      <c r="F132" t="s">
        <v>55</v>
      </c>
      <c r="G132">
        <v>10</v>
      </c>
    </row>
    <row r="133" spans="1:7" x14ac:dyDescent="0.35">
      <c r="A133" t="s">
        <v>427</v>
      </c>
      <c r="B133" t="s">
        <v>55</v>
      </c>
      <c r="C133">
        <v>10</v>
      </c>
      <c r="E133">
        <v>1.8087991999927899</v>
      </c>
      <c r="F133" t="s">
        <v>55</v>
      </c>
      <c r="G133">
        <v>10</v>
      </c>
    </row>
    <row r="134" spans="1:7" x14ac:dyDescent="0.35">
      <c r="A134" t="s">
        <v>430</v>
      </c>
      <c r="B134" t="s">
        <v>55</v>
      </c>
      <c r="C134">
        <v>10</v>
      </c>
      <c r="E134">
        <v>1.51819010000326</v>
      </c>
      <c r="F134" t="s">
        <v>55</v>
      </c>
      <c r="G134">
        <v>10</v>
      </c>
    </row>
    <row r="135" spans="1:7" x14ac:dyDescent="0.35">
      <c r="A135" t="s">
        <v>433</v>
      </c>
      <c r="B135" t="s">
        <v>55</v>
      </c>
      <c r="C135">
        <v>10</v>
      </c>
      <c r="E135">
        <v>1.30304560001241</v>
      </c>
      <c r="F135" t="s">
        <v>55</v>
      </c>
      <c r="G135">
        <v>10</v>
      </c>
    </row>
    <row r="136" spans="1:7" x14ac:dyDescent="0.35">
      <c r="A136" t="s">
        <v>435</v>
      </c>
      <c r="B136" t="s">
        <v>55</v>
      </c>
      <c r="C136">
        <v>5</v>
      </c>
      <c r="E136">
        <v>1.2754509000223999</v>
      </c>
      <c r="F136" t="s">
        <v>55</v>
      </c>
      <c r="G136">
        <v>10</v>
      </c>
    </row>
    <row r="137" spans="1:7" x14ac:dyDescent="0.35">
      <c r="A137" t="s">
        <v>438</v>
      </c>
      <c r="B137" t="s">
        <v>55</v>
      </c>
      <c r="C137">
        <v>5</v>
      </c>
      <c r="E137">
        <v>1.28535339998779</v>
      </c>
      <c r="F137" t="s">
        <v>55</v>
      </c>
      <c r="G137">
        <v>10</v>
      </c>
    </row>
    <row r="138" spans="1:7" x14ac:dyDescent="0.35">
      <c r="A138" t="s">
        <v>440</v>
      </c>
      <c r="B138" t="s">
        <v>55</v>
      </c>
      <c r="C138">
        <v>5</v>
      </c>
      <c r="E138">
        <v>1.48384030000306</v>
      </c>
      <c r="F138" t="s">
        <v>55</v>
      </c>
      <c r="G138">
        <v>10</v>
      </c>
    </row>
    <row r="139" spans="1:7" x14ac:dyDescent="0.35">
      <c r="A139" t="s">
        <v>443</v>
      </c>
      <c r="B139" t="s">
        <v>55</v>
      </c>
      <c r="C139">
        <v>10</v>
      </c>
      <c r="E139">
        <v>1.88066850000177</v>
      </c>
      <c r="F139" t="s">
        <v>55</v>
      </c>
      <c r="G139">
        <v>10</v>
      </c>
    </row>
    <row r="140" spans="1:7" x14ac:dyDescent="0.35">
      <c r="A140" t="s">
        <v>444</v>
      </c>
      <c r="B140" t="s">
        <v>55</v>
      </c>
      <c r="C140">
        <v>5</v>
      </c>
      <c r="E140">
        <v>1.51458200000342</v>
      </c>
      <c r="F140" t="s">
        <v>55</v>
      </c>
      <c r="G140">
        <v>10</v>
      </c>
    </row>
    <row r="141" spans="1:7" x14ac:dyDescent="0.35">
      <c r="A141" t="s">
        <v>447</v>
      </c>
      <c r="B141" t="s">
        <v>55</v>
      </c>
      <c r="C141">
        <v>5</v>
      </c>
      <c r="E141">
        <v>1.46169379999628</v>
      </c>
      <c r="F141" t="s">
        <v>55</v>
      </c>
      <c r="G141">
        <v>10</v>
      </c>
    </row>
    <row r="142" spans="1:7" x14ac:dyDescent="0.35">
      <c r="A142" t="s">
        <v>450</v>
      </c>
      <c r="B142" t="s">
        <v>55</v>
      </c>
      <c r="C142">
        <v>10</v>
      </c>
      <c r="E142">
        <v>1.16175600001588</v>
      </c>
      <c r="F142" t="s">
        <v>55</v>
      </c>
      <c r="G142">
        <v>10</v>
      </c>
    </row>
    <row r="143" spans="1:7" x14ac:dyDescent="0.35">
      <c r="A143" t="s">
        <v>453</v>
      </c>
      <c r="B143" t="s">
        <v>55</v>
      </c>
      <c r="C143">
        <v>10</v>
      </c>
      <c r="E143">
        <v>1.3309866000199599</v>
      </c>
      <c r="F143" t="s">
        <v>55</v>
      </c>
      <c r="G143">
        <v>10</v>
      </c>
    </row>
    <row r="144" spans="1:7" x14ac:dyDescent="0.35">
      <c r="A144" t="s">
        <v>455</v>
      </c>
      <c r="B144" t="s">
        <v>55</v>
      </c>
      <c r="C144">
        <v>5</v>
      </c>
      <c r="E144">
        <v>1.4961271999927701</v>
      </c>
      <c r="F144" t="s">
        <v>55</v>
      </c>
      <c r="G144">
        <v>10</v>
      </c>
    </row>
    <row r="145" spans="1:7" x14ac:dyDescent="0.35">
      <c r="A145" t="s">
        <v>458</v>
      </c>
      <c r="B145" t="s">
        <v>55</v>
      </c>
      <c r="C145">
        <v>10</v>
      </c>
      <c r="E145">
        <v>1.1670489000098301</v>
      </c>
      <c r="F145" t="s">
        <v>55</v>
      </c>
      <c r="G145">
        <v>10</v>
      </c>
    </row>
    <row r="146" spans="1:7" x14ac:dyDescent="0.35">
      <c r="A146" t="s">
        <v>461</v>
      </c>
      <c r="B146" t="s">
        <v>55</v>
      </c>
      <c r="C146">
        <v>5</v>
      </c>
      <c r="E146">
        <v>1.0655077999981499</v>
      </c>
      <c r="F146" t="s">
        <v>55</v>
      </c>
      <c r="G146">
        <v>10</v>
      </c>
    </row>
    <row r="147" spans="1:7" x14ac:dyDescent="0.35">
      <c r="A147" t="s">
        <v>464</v>
      </c>
      <c r="B147" t="s">
        <v>55</v>
      </c>
      <c r="C147">
        <v>5</v>
      </c>
      <c r="E147">
        <v>1.4638586000073699</v>
      </c>
      <c r="F147" t="s">
        <v>55</v>
      </c>
      <c r="G147">
        <v>10</v>
      </c>
    </row>
    <row r="148" spans="1:7" x14ac:dyDescent="0.35">
      <c r="A148" t="s">
        <v>467</v>
      </c>
      <c r="B148" t="s">
        <v>55</v>
      </c>
      <c r="C148">
        <v>5</v>
      </c>
      <c r="E148">
        <v>1.33697060000849</v>
      </c>
      <c r="F148" t="s">
        <v>55</v>
      </c>
      <c r="G148">
        <v>10</v>
      </c>
    </row>
    <row r="149" spans="1:7" x14ac:dyDescent="0.35">
      <c r="A149" t="s">
        <v>470</v>
      </c>
      <c r="B149" t="s">
        <v>55</v>
      </c>
      <c r="C149">
        <v>10</v>
      </c>
      <c r="E149">
        <v>1.43144590000156</v>
      </c>
      <c r="F149" t="s">
        <v>55</v>
      </c>
      <c r="G149">
        <v>10</v>
      </c>
    </row>
    <row r="150" spans="1:7" x14ac:dyDescent="0.35">
      <c r="A150" t="s">
        <v>472</v>
      </c>
      <c r="B150" t="s">
        <v>55</v>
      </c>
      <c r="C150">
        <v>5</v>
      </c>
      <c r="E150">
        <v>1.5802368999866301</v>
      </c>
      <c r="F150" t="s">
        <v>55</v>
      </c>
      <c r="G150">
        <v>10</v>
      </c>
    </row>
    <row r="151" spans="1:7" x14ac:dyDescent="0.35">
      <c r="A151" t="s">
        <v>474</v>
      </c>
      <c r="B151" t="s">
        <v>55</v>
      </c>
      <c r="C151">
        <v>5</v>
      </c>
      <c r="E151">
        <v>1.19932089999201</v>
      </c>
      <c r="F151" t="s">
        <v>55</v>
      </c>
      <c r="G151">
        <v>10</v>
      </c>
    </row>
    <row r="152" spans="1:7" x14ac:dyDescent="0.35">
      <c r="A152" t="s">
        <v>476</v>
      </c>
      <c r="B152" t="s">
        <v>55</v>
      </c>
      <c r="C152">
        <v>5</v>
      </c>
      <c r="E152">
        <v>2.0203460999764502</v>
      </c>
      <c r="F152" t="s">
        <v>55</v>
      </c>
      <c r="G152">
        <v>10</v>
      </c>
    </row>
    <row r="153" spans="1:7" x14ac:dyDescent="0.35">
      <c r="A153" t="s">
        <v>477</v>
      </c>
      <c r="B153" t="s">
        <v>55</v>
      </c>
      <c r="C153">
        <v>5</v>
      </c>
      <c r="E153">
        <v>1.34959359999629</v>
      </c>
      <c r="F153" t="s">
        <v>55</v>
      </c>
      <c r="G153">
        <v>10</v>
      </c>
    </row>
    <row r="154" spans="1:7" x14ac:dyDescent="0.35">
      <c r="A154" s="1" t="s">
        <v>480</v>
      </c>
      <c r="B154" s="1" t="s">
        <v>61</v>
      </c>
      <c r="C154" s="1">
        <v>5</v>
      </c>
      <c r="E154">
        <v>1.17460500000743</v>
      </c>
      <c r="F154" t="s">
        <v>55</v>
      </c>
      <c r="G154">
        <v>10</v>
      </c>
    </row>
    <row r="155" spans="1:7" x14ac:dyDescent="0.35">
      <c r="A155" t="s">
        <v>482</v>
      </c>
      <c r="B155" t="s">
        <v>55</v>
      </c>
      <c r="C155">
        <v>10</v>
      </c>
      <c r="E155">
        <v>1.33951080002589</v>
      </c>
      <c r="F155" t="s">
        <v>55</v>
      </c>
      <c r="G155">
        <v>10</v>
      </c>
    </row>
    <row r="156" spans="1:7" x14ac:dyDescent="0.35">
      <c r="A156" t="s">
        <v>485</v>
      </c>
      <c r="B156" t="s">
        <v>55</v>
      </c>
      <c r="C156">
        <v>5</v>
      </c>
      <c r="E156">
        <v>1.2699661999940799</v>
      </c>
      <c r="F156" t="s">
        <v>55</v>
      </c>
      <c r="G156">
        <v>10</v>
      </c>
    </row>
    <row r="157" spans="1:7" x14ac:dyDescent="0.35">
      <c r="A157" t="s">
        <v>488</v>
      </c>
      <c r="B157" t="s">
        <v>55</v>
      </c>
      <c r="C157">
        <v>5</v>
      </c>
      <c r="E157">
        <v>1.22329850000096</v>
      </c>
      <c r="F157" t="s">
        <v>55</v>
      </c>
      <c r="G157">
        <v>10</v>
      </c>
    </row>
    <row r="158" spans="1:7" x14ac:dyDescent="0.35">
      <c r="A158" t="s">
        <v>490</v>
      </c>
      <c r="B158" t="s">
        <v>55</v>
      </c>
      <c r="C158">
        <v>10</v>
      </c>
      <c r="E158">
        <v>1.6510351000179</v>
      </c>
      <c r="F158" t="s">
        <v>55</v>
      </c>
      <c r="G158">
        <v>10</v>
      </c>
    </row>
    <row r="159" spans="1:7" x14ac:dyDescent="0.35">
      <c r="A159" t="s">
        <v>493</v>
      </c>
      <c r="B159" t="s">
        <v>55</v>
      </c>
      <c r="C159">
        <v>10</v>
      </c>
      <c r="E159">
        <v>1.6393663000198999</v>
      </c>
      <c r="F159" t="s">
        <v>55</v>
      </c>
      <c r="G159">
        <v>10</v>
      </c>
    </row>
    <row r="160" spans="1:7" x14ac:dyDescent="0.35">
      <c r="A160" t="s">
        <v>496</v>
      </c>
      <c r="B160" t="s">
        <v>55</v>
      </c>
      <c r="C160">
        <v>5</v>
      </c>
      <c r="E160">
        <v>1.6036221999966001</v>
      </c>
      <c r="F160" t="s">
        <v>55</v>
      </c>
      <c r="G160">
        <v>10</v>
      </c>
    </row>
    <row r="161" spans="1:7" x14ac:dyDescent="0.35">
      <c r="A161" t="s">
        <v>498</v>
      </c>
      <c r="B161" t="s">
        <v>55</v>
      </c>
      <c r="C161">
        <v>5</v>
      </c>
      <c r="E161">
        <v>1.1882347000064299</v>
      </c>
      <c r="F161" t="s">
        <v>55</v>
      </c>
      <c r="G161">
        <v>10</v>
      </c>
    </row>
    <row r="162" spans="1:7" x14ac:dyDescent="0.35">
      <c r="A162" t="s">
        <v>501</v>
      </c>
      <c r="B162" t="s">
        <v>55</v>
      </c>
      <c r="C162">
        <v>5</v>
      </c>
      <c r="E162">
        <v>1.3446672999998499</v>
      </c>
      <c r="F162" t="s">
        <v>55</v>
      </c>
      <c r="G162">
        <v>10</v>
      </c>
    </row>
    <row r="163" spans="1:7" x14ac:dyDescent="0.35">
      <c r="A163" t="s">
        <v>503</v>
      </c>
      <c r="B163" t="s">
        <v>55</v>
      </c>
      <c r="C163">
        <v>10</v>
      </c>
      <c r="E163">
        <v>1.95815720001701</v>
      </c>
      <c r="F163" t="s">
        <v>55</v>
      </c>
      <c r="G163">
        <v>10</v>
      </c>
    </row>
    <row r="164" spans="1:7" x14ac:dyDescent="0.35">
      <c r="A164" s="1" t="s">
        <v>506</v>
      </c>
      <c r="B164" s="1" t="s">
        <v>61</v>
      </c>
      <c r="C164" s="1">
        <v>10</v>
      </c>
      <c r="E164">
        <v>1.92285169998649</v>
      </c>
      <c r="F164" t="s">
        <v>55</v>
      </c>
      <c r="G164">
        <v>10</v>
      </c>
    </row>
    <row r="165" spans="1:7" x14ac:dyDescent="0.35">
      <c r="A165" t="s">
        <v>509</v>
      </c>
      <c r="B165" t="s">
        <v>55</v>
      </c>
      <c r="C165">
        <v>5</v>
      </c>
      <c r="E165">
        <v>1.5046938000014001</v>
      </c>
      <c r="F165" t="s">
        <v>55</v>
      </c>
      <c r="G165">
        <v>10</v>
      </c>
    </row>
    <row r="166" spans="1:7" x14ac:dyDescent="0.35">
      <c r="A166" t="s">
        <v>512</v>
      </c>
      <c r="B166" t="s">
        <v>55</v>
      </c>
      <c r="C166">
        <v>10</v>
      </c>
      <c r="E166">
        <v>1.4512263000069601</v>
      </c>
      <c r="F166" t="s">
        <v>55</v>
      </c>
      <c r="G166">
        <v>10</v>
      </c>
    </row>
    <row r="167" spans="1:7" x14ac:dyDescent="0.35">
      <c r="A167" t="s">
        <v>514</v>
      </c>
      <c r="B167" t="s">
        <v>55</v>
      </c>
      <c r="C167">
        <v>5</v>
      </c>
      <c r="E167">
        <v>1.3698669000004799</v>
      </c>
      <c r="F167" t="s">
        <v>55</v>
      </c>
      <c r="G167">
        <v>10</v>
      </c>
    </row>
    <row r="168" spans="1:7" x14ac:dyDescent="0.35">
      <c r="A168" t="s">
        <v>516</v>
      </c>
      <c r="B168" t="s">
        <v>55</v>
      </c>
      <c r="C168">
        <v>10</v>
      </c>
      <c r="E168">
        <v>2.1826162000070299</v>
      </c>
      <c r="F168" t="s">
        <v>55</v>
      </c>
      <c r="G168">
        <v>10</v>
      </c>
    </row>
    <row r="169" spans="1:7" x14ac:dyDescent="0.35">
      <c r="A169" t="s">
        <v>518</v>
      </c>
      <c r="B169" t="s">
        <v>55</v>
      </c>
      <c r="C169">
        <v>10</v>
      </c>
      <c r="E169">
        <v>1.27377360002719</v>
      </c>
      <c r="F169" t="s">
        <v>55</v>
      </c>
      <c r="G169">
        <v>10</v>
      </c>
    </row>
    <row r="170" spans="1:7" x14ac:dyDescent="0.35">
      <c r="A170" t="s">
        <v>520</v>
      </c>
      <c r="B170" t="s">
        <v>55</v>
      </c>
      <c r="C170">
        <v>5</v>
      </c>
      <c r="E170">
        <v>1.0715539000229899</v>
      </c>
      <c r="F170" t="s">
        <v>55</v>
      </c>
      <c r="G170">
        <v>10</v>
      </c>
    </row>
    <row r="171" spans="1:7" x14ac:dyDescent="0.35">
      <c r="A171" t="s">
        <v>522</v>
      </c>
      <c r="B171" t="s">
        <v>55</v>
      </c>
      <c r="C171">
        <v>5</v>
      </c>
      <c r="E171">
        <v>1.6847391999908701</v>
      </c>
      <c r="F171" t="s">
        <v>55</v>
      </c>
      <c r="G171">
        <v>10</v>
      </c>
    </row>
    <row r="172" spans="1:7" x14ac:dyDescent="0.35">
      <c r="A172" t="s">
        <v>525</v>
      </c>
      <c r="B172" t="s">
        <v>55</v>
      </c>
      <c r="C172">
        <v>5</v>
      </c>
      <c r="E172">
        <v>1.0988048000144699</v>
      </c>
      <c r="F172" t="s">
        <v>55</v>
      </c>
      <c r="G172">
        <v>10</v>
      </c>
    </row>
    <row r="173" spans="1:7" x14ac:dyDescent="0.35">
      <c r="A173" t="s">
        <v>528</v>
      </c>
      <c r="B173" t="s">
        <v>55</v>
      </c>
      <c r="C173">
        <v>5</v>
      </c>
      <c r="E173">
        <v>1.1652114999887999</v>
      </c>
      <c r="F173" t="s">
        <v>55</v>
      </c>
      <c r="G173">
        <v>10</v>
      </c>
    </row>
    <row r="174" spans="1:7" x14ac:dyDescent="0.35">
      <c r="A174" t="s">
        <v>530</v>
      </c>
      <c r="B174" t="s">
        <v>55</v>
      </c>
      <c r="C174">
        <v>10</v>
      </c>
      <c r="E174">
        <v>1.5115126000018699</v>
      </c>
      <c r="F174" t="s">
        <v>55</v>
      </c>
      <c r="G174">
        <v>10</v>
      </c>
    </row>
    <row r="175" spans="1:7" x14ac:dyDescent="0.35">
      <c r="A175" t="s">
        <v>532</v>
      </c>
      <c r="B175" t="s">
        <v>55</v>
      </c>
      <c r="C175">
        <v>10</v>
      </c>
      <c r="E175">
        <v>1.97939079999923</v>
      </c>
      <c r="F175" t="s">
        <v>55</v>
      </c>
      <c r="G175">
        <v>10</v>
      </c>
    </row>
    <row r="176" spans="1:7" x14ac:dyDescent="0.35">
      <c r="A176" t="s">
        <v>534</v>
      </c>
      <c r="B176" t="s">
        <v>55</v>
      </c>
      <c r="C176">
        <v>5</v>
      </c>
      <c r="E176">
        <v>4.1282907999993697</v>
      </c>
      <c r="F176" t="s">
        <v>55</v>
      </c>
      <c r="G176">
        <v>10</v>
      </c>
    </row>
    <row r="177" spans="1:7" x14ac:dyDescent="0.35">
      <c r="A177" s="1" t="s">
        <v>537</v>
      </c>
      <c r="B177" s="1" t="s">
        <v>61</v>
      </c>
      <c r="C177" s="1">
        <v>5</v>
      </c>
      <c r="E177">
        <v>1.3163047999841999</v>
      </c>
      <c r="F177" t="s">
        <v>55</v>
      </c>
      <c r="G177">
        <v>10</v>
      </c>
    </row>
    <row r="178" spans="1:7" x14ac:dyDescent="0.35">
      <c r="A178" t="s">
        <v>539</v>
      </c>
      <c r="B178" t="s">
        <v>55</v>
      </c>
      <c r="C178">
        <v>5</v>
      </c>
      <c r="E178">
        <v>1.11850099998991</v>
      </c>
      <c r="F178" t="s">
        <v>55</v>
      </c>
      <c r="G178">
        <v>10</v>
      </c>
    </row>
    <row r="179" spans="1:7" x14ac:dyDescent="0.35">
      <c r="A179" t="s">
        <v>541</v>
      </c>
      <c r="B179" t="s">
        <v>55</v>
      </c>
      <c r="C179">
        <v>5</v>
      </c>
      <c r="E179">
        <v>1.33141530002467</v>
      </c>
      <c r="F179" t="s">
        <v>55</v>
      </c>
      <c r="G179">
        <v>10</v>
      </c>
    </row>
    <row r="180" spans="1:7" x14ac:dyDescent="0.35">
      <c r="A180" t="s">
        <v>544</v>
      </c>
      <c r="B180" t="s">
        <v>55</v>
      </c>
      <c r="C180">
        <v>5</v>
      </c>
      <c r="E180">
        <v>1.5642358000040899</v>
      </c>
      <c r="F180" t="s">
        <v>55</v>
      </c>
      <c r="G180">
        <v>10</v>
      </c>
    </row>
    <row r="181" spans="1:7" x14ac:dyDescent="0.35">
      <c r="A181" t="s">
        <v>546</v>
      </c>
      <c r="B181" t="s">
        <v>55</v>
      </c>
      <c r="C181">
        <v>5</v>
      </c>
      <c r="E181">
        <v>1.6506104000145501</v>
      </c>
      <c r="F181" t="s">
        <v>55</v>
      </c>
      <c r="G181">
        <v>10</v>
      </c>
    </row>
    <row r="182" spans="1:7" x14ac:dyDescent="0.35">
      <c r="A182" s="1" t="s">
        <v>549</v>
      </c>
      <c r="B182" s="1" t="s">
        <v>61</v>
      </c>
      <c r="C182" s="1">
        <v>5</v>
      </c>
      <c r="E182">
        <v>1.08141760001308</v>
      </c>
      <c r="F182" t="s">
        <v>55</v>
      </c>
      <c r="G182">
        <v>10</v>
      </c>
    </row>
    <row r="183" spans="1:7" x14ac:dyDescent="0.35">
      <c r="A183" t="s">
        <v>551</v>
      </c>
      <c r="B183" t="s">
        <v>55</v>
      </c>
      <c r="C183">
        <v>5</v>
      </c>
      <c r="E183">
        <v>1.1495790999906601</v>
      </c>
      <c r="F183" t="s">
        <v>55</v>
      </c>
      <c r="G183">
        <v>10</v>
      </c>
    </row>
    <row r="184" spans="1:7" x14ac:dyDescent="0.35">
      <c r="A184" t="s">
        <v>553</v>
      </c>
      <c r="B184" t="s">
        <v>55</v>
      </c>
      <c r="C184">
        <v>5</v>
      </c>
      <c r="E184">
        <v>1.4149282000143999</v>
      </c>
      <c r="F184" t="s">
        <v>55</v>
      </c>
      <c r="G184">
        <v>10</v>
      </c>
    </row>
    <row r="185" spans="1:7" x14ac:dyDescent="0.35">
      <c r="A185" t="s">
        <v>554</v>
      </c>
      <c r="B185" t="s">
        <v>55</v>
      </c>
      <c r="C185">
        <v>5</v>
      </c>
      <c r="E185">
        <v>2.1010250000108499</v>
      </c>
      <c r="F185" t="s">
        <v>55</v>
      </c>
      <c r="G185">
        <v>10</v>
      </c>
    </row>
    <row r="186" spans="1:7" x14ac:dyDescent="0.35">
      <c r="A186" t="s">
        <v>557</v>
      </c>
      <c r="B186" t="s">
        <v>55</v>
      </c>
      <c r="C186">
        <v>10</v>
      </c>
      <c r="E186">
        <v>1.21840049998718</v>
      </c>
      <c r="F186" t="s">
        <v>55</v>
      </c>
      <c r="G186">
        <v>10</v>
      </c>
    </row>
    <row r="187" spans="1:7" x14ac:dyDescent="0.35">
      <c r="A187" t="s">
        <v>559</v>
      </c>
      <c r="B187" t="s">
        <v>55</v>
      </c>
      <c r="C187">
        <v>5</v>
      </c>
    </row>
    <row r="188" spans="1:7" x14ac:dyDescent="0.35">
      <c r="A188" t="s">
        <v>561</v>
      </c>
      <c r="B188" t="s">
        <v>55</v>
      </c>
      <c r="C188">
        <v>10</v>
      </c>
    </row>
    <row r="189" spans="1:7" x14ac:dyDescent="0.35">
      <c r="A189" t="s">
        <v>563</v>
      </c>
      <c r="B189" t="s">
        <v>55</v>
      </c>
      <c r="C189">
        <v>5</v>
      </c>
    </row>
    <row r="190" spans="1:7" x14ac:dyDescent="0.35">
      <c r="A190" t="s">
        <v>566</v>
      </c>
      <c r="B190" t="s">
        <v>55</v>
      </c>
      <c r="C190">
        <v>10</v>
      </c>
    </row>
    <row r="191" spans="1:7" x14ac:dyDescent="0.35">
      <c r="A191" s="1" t="s">
        <v>569</v>
      </c>
      <c r="B191" s="1" t="s">
        <v>61</v>
      </c>
      <c r="C191" s="1">
        <v>5</v>
      </c>
    </row>
    <row r="192" spans="1:7" x14ac:dyDescent="0.35">
      <c r="A192" t="s">
        <v>571</v>
      </c>
      <c r="B192" t="s">
        <v>55</v>
      </c>
      <c r="C192">
        <v>10</v>
      </c>
    </row>
    <row r="193" spans="1:3" x14ac:dyDescent="0.35">
      <c r="A193" t="s">
        <v>573</v>
      </c>
      <c r="B193" t="s">
        <v>55</v>
      </c>
      <c r="C193">
        <v>10</v>
      </c>
    </row>
    <row r="194" spans="1:3" x14ac:dyDescent="0.35">
      <c r="A194" t="s">
        <v>575</v>
      </c>
      <c r="B194" t="s">
        <v>55</v>
      </c>
      <c r="C194">
        <v>5</v>
      </c>
    </row>
    <row r="195" spans="1:3" x14ac:dyDescent="0.35">
      <c r="A195" t="s">
        <v>578</v>
      </c>
      <c r="B195" t="s">
        <v>55</v>
      </c>
      <c r="C195">
        <v>10</v>
      </c>
    </row>
    <row r="196" spans="1:3" x14ac:dyDescent="0.35">
      <c r="A196" t="s">
        <v>580</v>
      </c>
      <c r="B196" t="s">
        <v>55</v>
      </c>
      <c r="C196">
        <v>10</v>
      </c>
    </row>
    <row r="197" spans="1:3" x14ac:dyDescent="0.35">
      <c r="A197" t="s">
        <v>583</v>
      </c>
      <c r="B197" t="s">
        <v>55</v>
      </c>
      <c r="C197">
        <v>5</v>
      </c>
    </row>
    <row r="198" spans="1:3" x14ac:dyDescent="0.35">
      <c r="A198" t="s">
        <v>585</v>
      </c>
      <c r="B198" t="s">
        <v>55</v>
      </c>
      <c r="C198">
        <v>10</v>
      </c>
    </row>
    <row r="199" spans="1:3" x14ac:dyDescent="0.35">
      <c r="A199" t="s">
        <v>587</v>
      </c>
      <c r="B199" t="s">
        <v>55</v>
      </c>
      <c r="C199">
        <v>10</v>
      </c>
    </row>
    <row r="200" spans="1:3" x14ac:dyDescent="0.35">
      <c r="A200" t="s">
        <v>590</v>
      </c>
      <c r="B200" t="s">
        <v>55</v>
      </c>
      <c r="C200">
        <v>5</v>
      </c>
    </row>
    <row r="201" spans="1:3" x14ac:dyDescent="0.35">
      <c r="A201" t="s">
        <v>592</v>
      </c>
      <c r="B201" t="s">
        <v>55</v>
      </c>
      <c r="C201">
        <v>10</v>
      </c>
    </row>
    <row r="202" spans="1:3" x14ac:dyDescent="0.35">
      <c r="A202" t="s">
        <v>594</v>
      </c>
      <c r="B202" t="s">
        <v>55</v>
      </c>
      <c r="C202">
        <v>5</v>
      </c>
    </row>
  </sheetData>
  <sortState xmlns:xlrd2="http://schemas.microsoft.com/office/spreadsheetml/2017/richdata2" ref="E3:G186">
    <sortCondition ref="G3:G18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848B-0984-47FB-AF20-5D0820253CCD}">
  <dimension ref="A1:C11"/>
  <sheetViews>
    <sheetView zoomScale="88" workbookViewId="0">
      <selection activeCell="S7" sqref="S7"/>
    </sheetView>
  </sheetViews>
  <sheetFormatPr defaultRowHeight="14.5" x14ac:dyDescent="0.35"/>
  <sheetData>
    <row r="1" spans="1:3" x14ac:dyDescent="0.35">
      <c r="A1" t="s">
        <v>602</v>
      </c>
      <c r="B1" t="s">
        <v>603</v>
      </c>
      <c r="C1" t="s">
        <v>604</v>
      </c>
    </row>
    <row r="2" spans="1:3" x14ac:dyDescent="0.35">
      <c r="A2">
        <v>1</v>
      </c>
      <c r="B2" t="s">
        <v>595</v>
      </c>
      <c r="C2">
        <v>1.4997829720168339</v>
      </c>
    </row>
    <row r="3" spans="1:3" x14ac:dyDescent="0.35">
      <c r="B3" t="s">
        <v>596</v>
      </c>
      <c r="C3">
        <v>1.6227087463141918</v>
      </c>
    </row>
    <row r="4" spans="1:3" x14ac:dyDescent="0.35">
      <c r="A4">
        <v>2</v>
      </c>
      <c r="B4" t="s">
        <v>595</v>
      </c>
      <c r="C4">
        <v>1.2943990371428393</v>
      </c>
    </row>
    <row r="5" spans="1:3" x14ac:dyDescent="0.35">
      <c r="B5" t="s">
        <v>596</v>
      </c>
      <c r="C5">
        <v>1.370072978571395</v>
      </c>
    </row>
    <row r="6" spans="1:3" x14ac:dyDescent="0.35">
      <c r="A6">
        <v>3</v>
      </c>
      <c r="B6" t="s">
        <v>595</v>
      </c>
      <c r="C6">
        <v>1.4025567878378513</v>
      </c>
    </row>
    <row r="7" spans="1:3" x14ac:dyDescent="0.35">
      <c r="B7" t="s">
        <v>596</v>
      </c>
      <c r="C7">
        <v>1.4905724208332924</v>
      </c>
    </row>
    <row r="8" spans="1:3" x14ac:dyDescent="0.35">
      <c r="A8">
        <v>4</v>
      </c>
      <c r="B8" t="s">
        <v>595</v>
      </c>
      <c r="C8">
        <v>1.937310413000811</v>
      </c>
    </row>
    <row r="9" spans="1:3" x14ac:dyDescent="0.35">
      <c r="B9" t="s">
        <v>596</v>
      </c>
      <c r="C9">
        <v>2.0960054567006279</v>
      </c>
    </row>
    <row r="10" spans="1:3" x14ac:dyDescent="0.35">
      <c r="A10">
        <v>5</v>
      </c>
      <c r="B10" t="s">
        <v>595</v>
      </c>
      <c r="C10">
        <v>1.3096766081651663</v>
      </c>
    </row>
    <row r="11" spans="1:3" x14ac:dyDescent="0.35">
      <c r="B11" t="s">
        <v>596</v>
      </c>
      <c r="C11">
        <v>1.535425852328334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P5_VST_2025-09-28_18h44.52.555</vt:lpstr>
      <vt:lpstr>Analysis</vt:lpstr>
      <vt:lpstr>Grand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2025-09-30T04:28:34Z</dcterms:created>
  <dcterms:modified xsi:type="dcterms:W3CDTF">2025-09-30T07:04:17Z</dcterms:modified>
</cp:coreProperties>
</file>