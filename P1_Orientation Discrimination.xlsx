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Orientation Discrimination\data\"/>
    </mc:Choice>
  </mc:AlternateContent>
  <xr:revisionPtr revIDLastSave="0" documentId="13_ncr:1_{FF87EE82-22FE-4528-A8BE-78EC368CE7EA}" xr6:coauthVersionLast="47" xr6:coauthVersionMax="47" xr10:uidLastSave="{00000000-0000-0000-0000-000000000000}"/>
  <bookViews>
    <workbookView xWindow="-110" yWindow="-110" windowWidth="19420" windowHeight="10300" xr2:uid="{AA66DB7F-531C-48D8-AA16-541C1CD85451}"/>
  </bookViews>
  <sheets>
    <sheet name="P1_Orientation Discrimination_2" sheetId="1" r:id="rId1"/>
    <sheet name="Analysis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H23" i="2" s="1"/>
  <c r="I18" i="2"/>
  <c r="I17" i="2"/>
  <c r="H22" i="2" s="1"/>
  <c r="H17" i="2"/>
  <c r="H25" i="2" l="1"/>
  <c r="H26" i="2"/>
</calcChain>
</file>

<file path=xl/sharedStrings.xml><?xml version="1.0" encoding="utf-8"?>
<sst xmlns="http://schemas.openxmlformats.org/spreadsheetml/2006/main" count="1096" uniqueCount="77">
  <si>
    <t>thisN</t>
  </si>
  <si>
    <t>thisTrialN</t>
  </si>
  <si>
    <t>thisRepN</t>
  </si>
  <si>
    <t>tilt</t>
  </si>
  <si>
    <t>key_resp_stimuli.keys</t>
  </si>
  <si>
    <t>key_resp_stimuli.corr</t>
  </si>
  <si>
    <t>key_resp_stimuli.rt</t>
  </si>
  <si>
    <t>key_resp_stimuli.duration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</si>
  <si>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</si>
  <si>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</si>
  <si>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</si>
  <si>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</si>
  <si>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</si>
  <si>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</si>
  <si>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</si>
  <si>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Intro.started</t>
  </si>
  <si>
    <t>Welcome_Screen.stopped</t>
  </si>
  <si>
    <t>trial.started</t>
  </si>
  <si>
    <t>Fixation.started</t>
  </si>
  <si>
    <t>key_resp_stimuli.started</t>
  </si>
  <si>
    <t>Fixation.stopped</t>
  </si>
  <si>
    <t>trial.stopped</t>
  </si>
  <si>
    <t>trials.tilt</t>
  </si>
  <si>
    <t>trials.key_resp_stimuli.keys</t>
  </si>
  <si>
    <t>trials.key_resp_stimuli.corr</t>
  </si>
  <si>
    <t>trials.key_resp_stimuli.rt</t>
  </si>
  <si>
    <t>trials.key_resp_stimuli.duration</t>
  </si>
  <si>
    <t>Goodbye_Screen.started</t>
  </si>
  <si>
    <t>Bye.started</t>
  </si>
  <si>
    <t>Bye.stopped</t>
  </si>
  <si>
    <t>Goodbye_Screen.stopped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</si>
  <si>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</si>
  <si>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</si>
  <si>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</si>
  <si>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</si>
  <si>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</si>
  <si>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</si>
  <si>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</si>
  <si>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P1</t>
  </si>
  <si>
    <t>2025-09-09_11h25.55.830</t>
  </si>
  <si>
    <t>Orientation Discrimination</t>
  </si>
  <si>
    <t>2024.2.4</t>
  </si>
  <si>
    <t>2025-09-09 11h26.26.574641 +0530</t>
  </si>
  <si>
    <t>down</t>
  </si>
  <si>
    <t>None</t>
  </si>
  <si>
    <t>up</t>
  </si>
  <si>
    <t>Signal Present</t>
  </si>
  <si>
    <t>Signal Absent</t>
  </si>
  <si>
    <r>
      <t xml:space="preserve">Response </t>
    </r>
    <r>
      <rPr>
        <b/>
        <sz val="11"/>
        <color theme="1"/>
        <rFont val="Aptos Narrow"/>
        <family val="2"/>
        <scheme val="minor"/>
      </rPr>
      <t>Yes</t>
    </r>
  </si>
  <si>
    <r>
      <t xml:space="preserve">Response </t>
    </r>
    <r>
      <rPr>
        <b/>
        <sz val="11"/>
        <color theme="1"/>
        <rFont val="Aptos Narrow"/>
        <family val="2"/>
        <scheme val="minor"/>
      </rPr>
      <t>No</t>
    </r>
  </si>
  <si>
    <t>Hit</t>
  </si>
  <si>
    <t>Miss</t>
  </si>
  <si>
    <t>False Alarm</t>
  </si>
  <si>
    <t>Correct Rejection</t>
  </si>
  <si>
    <t>c = - z(prop hit) + z(prop fa)/2</t>
  </si>
  <si>
    <t>------</t>
  </si>
  <si>
    <t>8+1+3+3+3</t>
  </si>
  <si>
    <t>19+8+1+2+2+2</t>
  </si>
  <si>
    <t>miss</t>
  </si>
  <si>
    <t>hit</t>
  </si>
  <si>
    <t>3+1+21</t>
  </si>
  <si>
    <t>4+2+17</t>
  </si>
  <si>
    <t>-----</t>
  </si>
  <si>
    <t>cr</t>
  </si>
  <si>
    <t>fa</t>
  </si>
  <si>
    <t>1+7</t>
  </si>
  <si>
    <t>19+8+17</t>
  </si>
  <si>
    <t>prop of hit = hit/hit+miss</t>
  </si>
  <si>
    <t>prop of fa= fa/fa+corr_rejection</t>
  </si>
  <si>
    <t>prop of hit</t>
  </si>
  <si>
    <t>prop of fa</t>
  </si>
  <si>
    <t>d-prime</t>
  </si>
  <si>
    <t>criterion</t>
  </si>
  <si>
    <t>Vertical Gabor</t>
  </si>
  <si>
    <t>tilt = 0</t>
  </si>
  <si>
    <t>tilt =/0</t>
  </si>
  <si>
    <t>d'prime = z(prop hit) - z(pro fa)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</si>
</sst>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Signal Detection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Analysis!$L$9:$O$9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Analysis!$L$10:$O$10</c:f>
              <c:numCache>
                <c:formatCode>General</c:formatCode>
                <c:ptCount val="4"/>
                <c:pt idx="0">
                  <c:v>23</c:v>
                </c:pt>
                <c:pt idx="1">
                  <c:v>25</c:v>
                </c:pt>
                <c:pt idx="2">
                  <c:v>8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D-463C-A960-95FBF105B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0896447"/>
        <c:axId val="980896927"/>
      </c:barChart>
      <c:catAx>
        <c:axId val="98089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Classificatio</a:t>
                </a:r>
                <a:r>
                  <a:rPr lang="en-IN" baseline="0"/>
                  <a:t>n of Trial Responses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4646686079451416"/>
              <c:y val="0.88329965754358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96927"/>
        <c:crosses val="autoZero"/>
        <c:auto val="1"/>
        <c:lblAlgn val="ctr"/>
        <c:lblOffset val="100"/>
        <c:noMultiLvlLbl val="0"/>
      </c:catAx>
      <c:valAx>
        <c:axId val="9808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Responses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9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615156</xdr:colOff>
      <xdr:row>11</xdr:row>
      <xdr:rowOff>172243</xdr:rowOff>
    </xdr:from>
    <xdr:to>
      <xdr:col>20</xdr:col>
      <xdr:colOff>305594</xdr:colOff>
      <xdr:row>26</xdr:row>
      <xdr:rowOff>177006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CED817-D663-92C3-E66D-4FA1DBFBF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A6F8-A8C4-4038-AE18-B44F143B2817}">
  <dimension ref="A1:AL103"/>
  <sheetViews>
    <sheetView tabSelected="1" topLeftCell="A93" zoomScale="50" workbookViewId="0">
      <selection activeCell="R112" sqref="R112"/>
    </sheetView>
  </sheetViews>
  <sheetFormatPr defaultRowHeight="14.5" x14ac:dyDescent="0.35"/>
  <cols>
    <col min="5" max="5" width="18.54296875" bestFit="1" customWidth="1"/>
    <col min="6" max="6" width="18.17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O2">
        <v>0.28123559999948999</v>
      </c>
      <c r="P2">
        <v>0.29492489999756799</v>
      </c>
      <c r="Q2">
        <v>5.0101566999983298</v>
      </c>
      <c r="AF2" t="s">
        <v>38</v>
      </c>
      <c r="AG2">
        <v>1</v>
      </c>
      <c r="AH2" t="s">
        <v>39</v>
      </c>
      <c r="AI2" t="s">
        <v>40</v>
      </c>
      <c r="AJ2" t="s">
        <v>41</v>
      </c>
      <c r="AK2">
        <v>60.0154719877155</v>
      </c>
      <c r="AL2" t="s">
        <v>42</v>
      </c>
    </row>
    <row r="3" spans="1:38" x14ac:dyDescent="0.35">
      <c r="A3">
        <v>0</v>
      </c>
      <c r="B3">
        <v>0</v>
      </c>
      <c r="C3">
        <v>0</v>
      </c>
      <c r="D3">
        <v>3</v>
      </c>
      <c r="E3" t="s">
        <v>43</v>
      </c>
      <c r="F3">
        <v>1</v>
      </c>
      <c r="G3">
        <v>1.0243814000023099</v>
      </c>
      <c r="H3" t="s">
        <v>44</v>
      </c>
      <c r="I3">
        <v>0</v>
      </c>
      <c r="J3">
        <v>0</v>
      </c>
      <c r="K3">
        <v>0</v>
      </c>
      <c r="L3">
        <v>0</v>
      </c>
      <c r="M3">
        <v>5.0265259000007001</v>
      </c>
      <c r="R3">
        <v>5.02049679999981</v>
      </c>
      <c r="S3">
        <v>5.0265259000007001</v>
      </c>
      <c r="T3">
        <v>6.0381023999980199</v>
      </c>
      <c r="U3">
        <v>6.0433450999989802</v>
      </c>
      <c r="V3">
        <v>7.0776231999989196</v>
      </c>
      <c r="W3">
        <v>3</v>
      </c>
      <c r="X3" t="s">
        <v>43</v>
      </c>
      <c r="Y3">
        <v>1</v>
      </c>
      <c r="Z3">
        <v>1.0243814000023099</v>
      </c>
      <c r="AA3" t="s">
        <v>44</v>
      </c>
      <c r="AF3" t="s">
        <v>38</v>
      </c>
      <c r="AG3">
        <v>1</v>
      </c>
      <c r="AH3" t="s">
        <v>39</v>
      </c>
      <c r="AI3" t="s">
        <v>40</v>
      </c>
      <c r="AJ3" t="s">
        <v>41</v>
      </c>
      <c r="AK3">
        <v>60.0154719877155</v>
      </c>
      <c r="AL3" t="s">
        <v>42</v>
      </c>
    </row>
    <row r="4" spans="1:38" x14ac:dyDescent="0.35">
      <c r="A4">
        <v>1</v>
      </c>
      <c r="B4">
        <v>0</v>
      </c>
      <c r="C4">
        <v>1</v>
      </c>
      <c r="D4">
        <v>-2</v>
      </c>
      <c r="E4" t="s">
        <v>45</v>
      </c>
      <c r="F4">
        <v>0</v>
      </c>
      <c r="G4">
        <v>1.1458050000001001</v>
      </c>
      <c r="H4" t="s">
        <v>44</v>
      </c>
      <c r="I4">
        <v>1</v>
      </c>
      <c r="J4">
        <v>0</v>
      </c>
      <c r="K4">
        <v>1</v>
      </c>
      <c r="L4">
        <v>0</v>
      </c>
      <c r="M4">
        <v>7.0919261999988503</v>
      </c>
      <c r="R4">
        <v>7.0781571000006798</v>
      </c>
      <c r="S4">
        <v>7.0919261999988503</v>
      </c>
      <c r="T4">
        <v>8.0916799999977194</v>
      </c>
      <c r="U4">
        <v>8.0916799999977194</v>
      </c>
      <c r="V4">
        <v>9.2435545999978697</v>
      </c>
      <c r="W4">
        <v>-2</v>
      </c>
      <c r="X4" t="s">
        <v>45</v>
      </c>
      <c r="Y4">
        <v>0</v>
      </c>
      <c r="Z4">
        <v>1.1458050000001001</v>
      </c>
      <c r="AA4" t="s">
        <v>44</v>
      </c>
      <c r="AF4" t="s">
        <v>38</v>
      </c>
      <c r="AG4">
        <v>1</v>
      </c>
      <c r="AH4" t="s">
        <v>39</v>
      </c>
      <c r="AI4" t="s">
        <v>40</v>
      </c>
      <c r="AJ4" t="s">
        <v>41</v>
      </c>
      <c r="AK4">
        <v>60.0154719877155</v>
      </c>
      <c r="AL4" t="s">
        <v>42</v>
      </c>
    </row>
    <row r="5" spans="1:38" x14ac:dyDescent="0.35">
      <c r="A5">
        <v>2</v>
      </c>
      <c r="B5">
        <v>0</v>
      </c>
      <c r="C5">
        <v>2</v>
      </c>
      <c r="D5">
        <v>0</v>
      </c>
      <c r="E5" t="s">
        <v>43</v>
      </c>
      <c r="F5">
        <v>0</v>
      </c>
      <c r="G5">
        <v>1.1491330000026201</v>
      </c>
      <c r="H5" t="s">
        <v>44</v>
      </c>
      <c r="I5">
        <v>2</v>
      </c>
      <c r="J5">
        <v>0</v>
      </c>
      <c r="K5">
        <v>2</v>
      </c>
      <c r="L5">
        <v>0</v>
      </c>
      <c r="M5">
        <v>9.2583008000001392</v>
      </c>
      <c r="R5">
        <v>9.2439496999977493</v>
      </c>
      <c r="S5">
        <v>9.2583008000001392</v>
      </c>
      <c r="T5">
        <v>10.2584143999993</v>
      </c>
      <c r="U5">
        <v>10.2584143999993</v>
      </c>
      <c r="V5">
        <v>11.412208699999599</v>
      </c>
      <c r="W5">
        <v>0</v>
      </c>
      <c r="X5" t="s">
        <v>43</v>
      </c>
      <c r="Y5">
        <v>0</v>
      </c>
      <c r="Z5">
        <v>1.1491330000026201</v>
      </c>
      <c r="AA5" t="s">
        <v>44</v>
      </c>
      <c r="AF5" t="s">
        <v>38</v>
      </c>
      <c r="AG5">
        <v>1</v>
      </c>
      <c r="AH5" t="s">
        <v>39</v>
      </c>
      <c r="AI5" t="s">
        <v>40</v>
      </c>
      <c r="AJ5" t="s">
        <v>41</v>
      </c>
      <c r="AK5">
        <v>60.0154719877155</v>
      </c>
      <c r="AL5" t="s">
        <v>42</v>
      </c>
    </row>
    <row r="6" spans="1:38" x14ac:dyDescent="0.35">
      <c r="A6">
        <v>3</v>
      </c>
      <c r="B6">
        <v>0</v>
      </c>
      <c r="C6">
        <v>3</v>
      </c>
      <c r="D6">
        <v>1</v>
      </c>
      <c r="E6" t="s">
        <v>45</v>
      </c>
      <c r="F6">
        <v>0</v>
      </c>
      <c r="G6">
        <v>0.74411049999980605</v>
      </c>
      <c r="H6" t="s">
        <v>44</v>
      </c>
      <c r="I6">
        <v>3</v>
      </c>
      <c r="J6">
        <v>0</v>
      </c>
      <c r="K6">
        <v>3</v>
      </c>
      <c r="L6">
        <v>0</v>
      </c>
      <c r="M6">
        <v>11.4248909999987</v>
      </c>
      <c r="R6">
        <v>11.4128061999981</v>
      </c>
      <c r="S6">
        <v>11.4248909999987</v>
      </c>
      <c r="T6">
        <v>12.424646100000199</v>
      </c>
      <c r="U6">
        <v>12.424646100000199</v>
      </c>
      <c r="V6">
        <v>13.1763814999976</v>
      </c>
      <c r="W6">
        <v>1</v>
      </c>
      <c r="X6" t="s">
        <v>45</v>
      </c>
      <c r="Y6">
        <v>0</v>
      </c>
      <c r="Z6">
        <v>0.74411049999980605</v>
      </c>
      <c r="AA6" t="s">
        <v>44</v>
      </c>
      <c r="AF6" t="s">
        <v>38</v>
      </c>
      <c r="AG6">
        <v>1</v>
      </c>
      <c r="AH6" t="s">
        <v>39</v>
      </c>
      <c r="AI6" t="s">
        <v>40</v>
      </c>
      <c r="AJ6" t="s">
        <v>41</v>
      </c>
      <c r="AK6">
        <v>60.0154719877155</v>
      </c>
      <c r="AL6" t="s">
        <v>42</v>
      </c>
    </row>
    <row r="7" spans="1:38" x14ac:dyDescent="0.35">
      <c r="A7">
        <v>4</v>
      </c>
      <c r="B7">
        <v>0</v>
      </c>
      <c r="C7">
        <v>4</v>
      </c>
      <c r="D7">
        <v>0</v>
      </c>
      <c r="E7" t="s">
        <v>45</v>
      </c>
      <c r="F7">
        <v>1</v>
      </c>
      <c r="G7">
        <v>1.0811603000001899</v>
      </c>
      <c r="H7" t="s">
        <v>44</v>
      </c>
      <c r="I7">
        <v>4</v>
      </c>
      <c r="J7">
        <v>0</v>
      </c>
      <c r="K7">
        <v>4</v>
      </c>
      <c r="L7">
        <v>0</v>
      </c>
      <c r="M7">
        <v>13.1913714000002</v>
      </c>
      <c r="R7">
        <v>13.176741399998701</v>
      </c>
      <c r="S7">
        <v>13.1913714000002</v>
      </c>
      <c r="T7">
        <v>14.1914845999999</v>
      </c>
      <c r="U7">
        <v>14.1914845999999</v>
      </c>
      <c r="V7">
        <v>15.277295199997701</v>
      </c>
      <c r="W7">
        <v>0</v>
      </c>
      <c r="X7" t="s">
        <v>45</v>
      </c>
      <c r="Y7">
        <v>1</v>
      </c>
      <c r="Z7">
        <v>1.0811603000001899</v>
      </c>
      <c r="AA7" t="s">
        <v>44</v>
      </c>
      <c r="AF7" t="s">
        <v>38</v>
      </c>
      <c r="AG7">
        <v>1</v>
      </c>
      <c r="AH7" t="s">
        <v>39</v>
      </c>
      <c r="AI7" t="s">
        <v>40</v>
      </c>
      <c r="AJ7" t="s">
        <v>41</v>
      </c>
      <c r="AK7">
        <v>60.0154719877155</v>
      </c>
      <c r="AL7" t="s">
        <v>42</v>
      </c>
    </row>
    <row r="8" spans="1:38" x14ac:dyDescent="0.35">
      <c r="A8">
        <v>5</v>
      </c>
      <c r="B8">
        <v>0</v>
      </c>
      <c r="C8">
        <v>5</v>
      </c>
      <c r="D8">
        <v>0</v>
      </c>
      <c r="E8" t="s">
        <v>45</v>
      </c>
      <c r="F8">
        <v>1</v>
      </c>
      <c r="G8">
        <v>0.893782600000122</v>
      </c>
      <c r="H8" t="s">
        <v>44</v>
      </c>
      <c r="I8">
        <v>5</v>
      </c>
      <c r="J8">
        <v>0</v>
      </c>
      <c r="K8">
        <v>5</v>
      </c>
      <c r="L8">
        <v>0</v>
      </c>
      <c r="M8">
        <v>15.291619899999199</v>
      </c>
      <c r="R8">
        <v>15.2777717999997</v>
      </c>
      <c r="S8">
        <v>15.291619899999199</v>
      </c>
      <c r="T8">
        <v>16.291544399999101</v>
      </c>
      <c r="U8">
        <v>16.291544399999101</v>
      </c>
      <c r="V8">
        <v>17.1941923999984</v>
      </c>
      <c r="W8">
        <v>0</v>
      </c>
      <c r="X8" t="s">
        <v>45</v>
      </c>
      <c r="Y8">
        <v>1</v>
      </c>
      <c r="Z8">
        <v>0.893782600000122</v>
      </c>
      <c r="AA8" t="s">
        <v>44</v>
      </c>
      <c r="AF8" t="s">
        <v>38</v>
      </c>
      <c r="AG8">
        <v>1</v>
      </c>
      <c r="AH8" t="s">
        <v>39</v>
      </c>
      <c r="AI8" t="s">
        <v>40</v>
      </c>
      <c r="AJ8" t="s">
        <v>41</v>
      </c>
      <c r="AK8">
        <v>60.0154719877155</v>
      </c>
      <c r="AL8" t="s">
        <v>42</v>
      </c>
    </row>
    <row r="9" spans="1:38" x14ac:dyDescent="0.35">
      <c r="A9">
        <v>6</v>
      </c>
      <c r="B9">
        <v>0</v>
      </c>
      <c r="C9">
        <v>6</v>
      </c>
      <c r="D9">
        <v>0</v>
      </c>
      <c r="E9" t="s">
        <v>43</v>
      </c>
      <c r="F9">
        <v>0</v>
      </c>
      <c r="G9">
        <v>0.74247690000265698</v>
      </c>
      <c r="H9" t="s">
        <v>44</v>
      </c>
      <c r="I9">
        <v>6</v>
      </c>
      <c r="J9">
        <v>0</v>
      </c>
      <c r="K9">
        <v>6</v>
      </c>
      <c r="L9">
        <v>0</v>
      </c>
      <c r="M9">
        <v>17.208351299999698</v>
      </c>
      <c r="R9">
        <v>17.194649699998902</v>
      </c>
      <c r="S9">
        <v>17.208351299999698</v>
      </c>
      <c r="T9">
        <v>18.2082635999977</v>
      </c>
      <c r="U9">
        <v>18.2082635999977</v>
      </c>
      <c r="V9">
        <v>18.959679899999099</v>
      </c>
      <c r="W9">
        <v>0</v>
      </c>
      <c r="X9" t="s">
        <v>43</v>
      </c>
      <c r="Y9">
        <v>0</v>
      </c>
      <c r="Z9">
        <v>0.74247690000265698</v>
      </c>
      <c r="AA9" t="s">
        <v>44</v>
      </c>
      <c r="AF9" t="s">
        <v>38</v>
      </c>
      <c r="AG9">
        <v>1</v>
      </c>
      <c r="AH9" t="s">
        <v>39</v>
      </c>
      <c r="AI9" t="s">
        <v>40</v>
      </c>
      <c r="AJ9" t="s">
        <v>41</v>
      </c>
      <c r="AK9">
        <v>60.0154719877155</v>
      </c>
      <c r="AL9" t="s">
        <v>42</v>
      </c>
    </row>
    <row r="10" spans="1:38" x14ac:dyDescent="0.35">
      <c r="A10">
        <v>7</v>
      </c>
      <c r="B10">
        <v>0</v>
      </c>
      <c r="C10">
        <v>7</v>
      </c>
      <c r="D10">
        <v>0</v>
      </c>
      <c r="E10" t="s">
        <v>43</v>
      </c>
      <c r="F10">
        <v>0</v>
      </c>
      <c r="G10">
        <v>1.09000540000124</v>
      </c>
      <c r="H10" t="s">
        <v>44</v>
      </c>
      <c r="I10">
        <v>7</v>
      </c>
      <c r="J10">
        <v>0</v>
      </c>
      <c r="K10">
        <v>7</v>
      </c>
      <c r="L10">
        <v>0</v>
      </c>
      <c r="M10">
        <v>18.974486599999999</v>
      </c>
      <c r="R10">
        <v>18.9601906999996</v>
      </c>
      <c r="S10">
        <v>18.974486599999999</v>
      </c>
      <c r="T10">
        <v>19.974656800000901</v>
      </c>
      <c r="U10">
        <v>19.974656800000901</v>
      </c>
      <c r="V10">
        <v>21.0772918000002</v>
      </c>
      <c r="W10">
        <v>0</v>
      </c>
      <c r="X10" t="s">
        <v>43</v>
      </c>
      <c r="Y10">
        <v>0</v>
      </c>
      <c r="Z10">
        <v>1.09000540000124</v>
      </c>
      <c r="AA10" t="s">
        <v>44</v>
      </c>
      <c r="AF10" t="s">
        <v>38</v>
      </c>
      <c r="AG10">
        <v>1</v>
      </c>
      <c r="AH10" t="s">
        <v>39</v>
      </c>
      <c r="AI10" t="s">
        <v>40</v>
      </c>
      <c r="AJ10" t="s">
        <v>41</v>
      </c>
      <c r="AK10">
        <v>60.0154719877155</v>
      </c>
      <c r="AL10" t="s">
        <v>42</v>
      </c>
    </row>
    <row r="11" spans="1:38" x14ac:dyDescent="0.35">
      <c r="A11">
        <v>8</v>
      </c>
      <c r="B11">
        <v>0</v>
      </c>
      <c r="C11">
        <v>8</v>
      </c>
      <c r="D11">
        <v>0</v>
      </c>
      <c r="E11" t="s">
        <v>43</v>
      </c>
      <c r="F11">
        <v>0</v>
      </c>
      <c r="G11">
        <v>1.0633083999964501</v>
      </c>
      <c r="H11" t="s">
        <v>44</v>
      </c>
      <c r="I11">
        <v>8</v>
      </c>
      <c r="J11">
        <v>0</v>
      </c>
      <c r="K11">
        <v>8</v>
      </c>
      <c r="L11">
        <v>0</v>
      </c>
      <c r="M11">
        <v>21.0912396999992</v>
      </c>
      <c r="R11">
        <v>21.0777473999987</v>
      </c>
      <c r="S11">
        <v>21.0912396999992</v>
      </c>
      <c r="T11">
        <v>22.091767899997599</v>
      </c>
      <c r="U11">
        <v>22.091767899997599</v>
      </c>
      <c r="V11">
        <v>23.160798799999601</v>
      </c>
      <c r="W11">
        <v>0</v>
      </c>
      <c r="X11" t="s">
        <v>43</v>
      </c>
      <c r="Y11">
        <v>0</v>
      </c>
      <c r="Z11">
        <v>1.0633083999964501</v>
      </c>
      <c r="AA11" t="s">
        <v>44</v>
      </c>
      <c r="AF11" t="s">
        <v>38</v>
      </c>
      <c r="AG11">
        <v>1</v>
      </c>
      <c r="AH11" t="s">
        <v>39</v>
      </c>
      <c r="AI11" t="s">
        <v>40</v>
      </c>
      <c r="AJ11" t="s">
        <v>41</v>
      </c>
      <c r="AK11">
        <v>60.0154719877155</v>
      </c>
      <c r="AL11" t="s">
        <v>42</v>
      </c>
    </row>
    <row r="12" spans="1:38" x14ac:dyDescent="0.35">
      <c r="A12">
        <v>9</v>
      </c>
      <c r="B12">
        <v>0</v>
      </c>
      <c r="C12">
        <v>9</v>
      </c>
      <c r="D12">
        <v>0</v>
      </c>
      <c r="E12" t="s">
        <v>45</v>
      </c>
      <c r="F12">
        <v>1</v>
      </c>
      <c r="G12">
        <v>0.80374779999692603</v>
      </c>
      <c r="H12" t="s">
        <v>44</v>
      </c>
      <c r="I12">
        <v>9</v>
      </c>
      <c r="J12">
        <v>0</v>
      </c>
      <c r="K12">
        <v>9</v>
      </c>
      <c r="L12">
        <v>0</v>
      </c>
      <c r="M12">
        <v>23.174768799999502</v>
      </c>
      <c r="R12">
        <v>23.1612017000006</v>
      </c>
      <c r="S12">
        <v>23.174768799999502</v>
      </c>
      <c r="T12">
        <v>24.174547599999599</v>
      </c>
      <c r="U12">
        <v>24.174547599999599</v>
      </c>
      <c r="V12">
        <v>24.9952298999996</v>
      </c>
      <c r="W12">
        <v>0</v>
      </c>
      <c r="X12" t="s">
        <v>45</v>
      </c>
      <c r="Y12">
        <v>1</v>
      </c>
      <c r="Z12">
        <v>0.80374779999692603</v>
      </c>
      <c r="AA12" t="s">
        <v>44</v>
      </c>
      <c r="AF12" t="s">
        <v>38</v>
      </c>
      <c r="AG12">
        <v>1</v>
      </c>
      <c r="AH12" t="s">
        <v>39</v>
      </c>
      <c r="AI12" t="s">
        <v>40</v>
      </c>
      <c r="AJ12" t="s">
        <v>41</v>
      </c>
      <c r="AK12">
        <v>60.0154719877155</v>
      </c>
      <c r="AL12" t="s">
        <v>42</v>
      </c>
    </row>
    <row r="13" spans="1:38" x14ac:dyDescent="0.35">
      <c r="A13">
        <v>10</v>
      </c>
      <c r="B13">
        <v>0</v>
      </c>
      <c r="C13">
        <v>10</v>
      </c>
      <c r="D13">
        <v>-2</v>
      </c>
      <c r="E13" t="s">
        <v>43</v>
      </c>
      <c r="F13">
        <v>1</v>
      </c>
      <c r="G13">
        <v>0.62883109999893305</v>
      </c>
      <c r="H13" t="s">
        <v>44</v>
      </c>
      <c r="I13">
        <v>10</v>
      </c>
      <c r="J13">
        <v>0</v>
      </c>
      <c r="K13">
        <v>10</v>
      </c>
      <c r="L13">
        <v>0</v>
      </c>
      <c r="M13">
        <v>25.007861800000601</v>
      </c>
      <c r="R13">
        <v>24.995888699999298</v>
      </c>
      <c r="S13">
        <v>25.007861800000601</v>
      </c>
      <c r="T13">
        <v>26.008156100000601</v>
      </c>
      <c r="U13">
        <v>26.008156100000601</v>
      </c>
      <c r="V13">
        <v>26.643833699999899</v>
      </c>
      <c r="W13">
        <v>-2</v>
      </c>
      <c r="X13" t="s">
        <v>43</v>
      </c>
      <c r="Y13">
        <v>1</v>
      </c>
      <c r="Z13">
        <v>0.62883109999893305</v>
      </c>
      <c r="AA13" t="s">
        <v>44</v>
      </c>
      <c r="AF13" t="s">
        <v>38</v>
      </c>
      <c r="AG13">
        <v>1</v>
      </c>
      <c r="AH13" t="s">
        <v>39</v>
      </c>
      <c r="AI13" t="s">
        <v>40</v>
      </c>
      <c r="AJ13" t="s">
        <v>41</v>
      </c>
      <c r="AK13">
        <v>60.0154719877155</v>
      </c>
      <c r="AL13" t="s">
        <v>42</v>
      </c>
    </row>
    <row r="14" spans="1:38" x14ac:dyDescent="0.35">
      <c r="A14">
        <v>11</v>
      </c>
      <c r="B14">
        <v>0</v>
      </c>
      <c r="C14">
        <v>11</v>
      </c>
      <c r="D14">
        <v>-3</v>
      </c>
      <c r="E14" t="s">
        <v>43</v>
      </c>
      <c r="F14">
        <v>1</v>
      </c>
      <c r="G14">
        <v>0.64631989999907002</v>
      </c>
      <c r="H14" t="s">
        <v>44</v>
      </c>
      <c r="I14">
        <v>11</v>
      </c>
      <c r="J14">
        <v>0</v>
      </c>
      <c r="K14">
        <v>11</v>
      </c>
      <c r="L14">
        <v>0</v>
      </c>
      <c r="M14">
        <v>26.657991299998599</v>
      </c>
      <c r="R14">
        <v>26.644379599998501</v>
      </c>
      <c r="S14">
        <v>26.657991299998599</v>
      </c>
      <c r="T14">
        <v>27.658174299998699</v>
      </c>
      <c r="U14">
        <v>27.658174299998699</v>
      </c>
      <c r="V14">
        <v>28.309874399998002</v>
      </c>
      <c r="W14">
        <v>-3</v>
      </c>
      <c r="X14" t="s">
        <v>43</v>
      </c>
      <c r="Y14">
        <v>1</v>
      </c>
      <c r="Z14">
        <v>0.64631989999907002</v>
      </c>
      <c r="AA14" t="s">
        <v>44</v>
      </c>
      <c r="AF14" t="s">
        <v>38</v>
      </c>
      <c r="AG14">
        <v>1</v>
      </c>
      <c r="AH14" t="s">
        <v>39</v>
      </c>
      <c r="AI14" t="s">
        <v>40</v>
      </c>
      <c r="AJ14" t="s">
        <v>41</v>
      </c>
      <c r="AK14">
        <v>60.0154719877155</v>
      </c>
      <c r="AL14" t="s">
        <v>42</v>
      </c>
    </row>
    <row r="15" spans="1:38" x14ac:dyDescent="0.35">
      <c r="A15">
        <v>12</v>
      </c>
      <c r="B15">
        <v>0</v>
      </c>
      <c r="C15">
        <v>12</v>
      </c>
      <c r="D15">
        <v>0</v>
      </c>
      <c r="E15" t="s">
        <v>45</v>
      </c>
      <c r="F15">
        <v>1</v>
      </c>
      <c r="G15">
        <v>0.45846480000181999</v>
      </c>
      <c r="H15" t="s">
        <v>44</v>
      </c>
      <c r="I15">
        <v>12</v>
      </c>
      <c r="J15">
        <v>0</v>
      </c>
      <c r="K15">
        <v>12</v>
      </c>
      <c r="L15">
        <v>0</v>
      </c>
      <c r="M15">
        <v>28.324621600000601</v>
      </c>
      <c r="R15">
        <v>28.310290299999899</v>
      </c>
      <c r="S15">
        <v>28.324621600000601</v>
      </c>
      <c r="T15">
        <v>29.3247090000004</v>
      </c>
      <c r="U15">
        <v>29.3247090000004</v>
      </c>
      <c r="V15">
        <v>29.794426500000501</v>
      </c>
      <c r="W15">
        <v>0</v>
      </c>
      <c r="X15" t="s">
        <v>45</v>
      </c>
      <c r="Y15">
        <v>1</v>
      </c>
      <c r="Z15">
        <v>0.45846480000181999</v>
      </c>
      <c r="AA15" t="s">
        <v>44</v>
      </c>
      <c r="AF15" t="s">
        <v>38</v>
      </c>
      <c r="AG15">
        <v>1</v>
      </c>
      <c r="AH15" t="s">
        <v>39</v>
      </c>
      <c r="AI15" t="s">
        <v>40</v>
      </c>
      <c r="AJ15" t="s">
        <v>41</v>
      </c>
      <c r="AK15">
        <v>60.0154719877155</v>
      </c>
      <c r="AL15" t="s">
        <v>42</v>
      </c>
    </row>
    <row r="16" spans="1:38" x14ac:dyDescent="0.35">
      <c r="A16">
        <v>13</v>
      </c>
      <c r="B16">
        <v>0</v>
      </c>
      <c r="C16">
        <v>13</v>
      </c>
      <c r="D16">
        <v>2</v>
      </c>
      <c r="E16" t="s">
        <v>43</v>
      </c>
      <c r="F16">
        <v>1</v>
      </c>
      <c r="G16">
        <v>0.47778579999794601</v>
      </c>
      <c r="H16" t="s">
        <v>44</v>
      </c>
      <c r="I16">
        <v>13</v>
      </c>
      <c r="J16">
        <v>0</v>
      </c>
      <c r="K16">
        <v>13</v>
      </c>
      <c r="L16">
        <v>0</v>
      </c>
      <c r="M16">
        <v>29.808639299997498</v>
      </c>
      <c r="R16">
        <v>29.795046999999599</v>
      </c>
      <c r="S16">
        <v>29.808639299997498</v>
      </c>
      <c r="T16">
        <v>30.808128900000099</v>
      </c>
      <c r="U16">
        <v>30.808128900000099</v>
      </c>
      <c r="V16">
        <v>31.293718799999599</v>
      </c>
      <c r="W16">
        <v>2</v>
      </c>
      <c r="X16" t="s">
        <v>43</v>
      </c>
      <c r="Y16">
        <v>1</v>
      </c>
      <c r="Z16">
        <v>0.47778579999794601</v>
      </c>
      <c r="AA16" t="s">
        <v>44</v>
      </c>
      <c r="AF16" t="s">
        <v>38</v>
      </c>
      <c r="AG16">
        <v>1</v>
      </c>
      <c r="AH16" t="s">
        <v>39</v>
      </c>
      <c r="AI16" t="s">
        <v>40</v>
      </c>
      <c r="AJ16" t="s">
        <v>41</v>
      </c>
      <c r="AK16">
        <v>60.0154719877155</v>
      </c>
      <c r="AL16" t="s">
        <v>42</v>
      </c>
    </row>
    <row r="17" spans="1:38" x14ac:dyDescent="0.35">
      <c r="A17">
        <v>14</v>
      </c>
      <c r="B17">
        <v>0</v>
      </c>
      <c r="C17">
        <v>14</v>
      </c>
      <c r="D17">
        <v>4</v>
      </c>
      <c r="E17" t="s">
        <v>43</v>
      </c>
      <c r="F17">
        <v>1</v>
      </c>
      <c r="G17">
        <v>0.88469880000047796</v>
      </c>
      <c r="H17" t="s">
        <v>44</v>
      </c>
      <c r="I17">
        <v>14</v>
      </c>
      <c r="J17">
        <v>0</v>
      </c>
      <c r="K17">
        <v>14</v>
      </c>
      <c r="L17">
        <v>0</v>
      </c>
      <c r="M17">
        <v>31.307807499997502</v>
      </c>
      <c r="R17">
        <v>31.2942141999992</v>
      </c>
      <c r="S17">
        <v>31.307807499997502</v>
      </c>
      <c r="T17">
        <v>32.308113799997898</v>
      </c>
      <c r="U17">
        <v>32.308113799997898</v>
      </c>
      <c r="V17">
        <v>33.209680500000097</v>
      </c>
      <c r="W17">
        <v>4</v>
      </c>
      <c r="X17" t="s">
        <v>43</v>
      </c>
      <c r="Y17">
        <v>1</v>
      </c>
      <c r="Z17">
        <v>0.88469880000047796</v>
      </c>
      <c r="AA17" t="s">
        <v>44</v>
      </c>
      <c r="AF17" t="s">
        <v>38</v>
      </c>
      <c r="AG17">
        <v>1</v>
      </c>
      <c r="AH17" t="s">
        <v>39</v>
      </c>
      <c r="AI17" t="s">
        <v>40</v>
      </c>
      <c r="AJ17" t="s">
        <v>41</v>
      </c>
      <c r="AK17">
        <v>60.0154719877155</v>
      </c>
      <c r="AL17" t="s">
        <v>42</v>
      </c>
    </row>
    <row r="18" spans="1:38" x14ac:dyDescent="0.35">
      <c r="A18">
        <v>15</v>
      </c>
      <c r="B18">
        <v>0</v>
      </c>
      <c r="C18">
        <v>15</v>
      </c>
      <c r="D18">
        <v>3</v>
      </c>
      <c r="E18" t="s">
        <v>43</v>
      </c>
      <c r="F18">
        <v>1</v>
      </c>
      <c r="G18">
        <v>0.68035320000126298</v>
      </c>
      <c r="H18" t="s">
        <v>44</v>
      </c>
      <c r="I18">
        <v>15</v>
      </c>
      <c r="J18">
        <v>0</v>
      </c>
      <c r="K18">
        <v>15</v>
      </c>
      <c r="L18">
        <v>0</v>
      </c>
      <c r="M18">
        <v>33.224682299998598</v>
      </c>
      <c r="R18">
        <v>33.2101615999999</v>
      </c>
      <c r="S18">
        <v>33.224682299998598</v>
      </c>
      <c r="T18">
        <v>34.2248722999975</v>
      </c>
      <c r="U18">
        <v>34.2248722999975</v>
      </c>
      <c r="V18">
        <v>34.909508900000198</v>
      </c>
      <c r="W18">
        <v>3</v>
      </c>
      <c r="X18" t="s">
        <v>43</v>
      </c>
      <c r="Y18">
        <v>1</v>
      </c>
      <c r="Z18">
        <v>0.68035320000126298</v>
      </c>
      <c r="AA18" t="s">
        <v>44</v>
      </c>
      <c r="AF18" t="s">
        <v>38</v>
      </c>
      <c r="AG18">
        <v>1</v>
      </c>
      <c r="AH18" t="s">
        <v>39</v>
      </c>
      <c r="AI18" t="s">
        <v>40</v>
      </c>
      <c r="AJ18" t="s">
        <v>41</v>
      </c>
      <c r="AK18">
        <v>60.0154719877155</v>
      </c>
      <c r="AL18" t="s">
        <v>42</v>
      </c>
    </row>
    <row r="19" spans="1:38" x14ac:dyDescent="0.35">
      <c r="A19">
        <v>16</v>
      </c>
      <c r="B19">
        <v>0</v>
      </c>
      <c r="C19">
        <v>16</v>
      </c>
      <c r="D19">
        <v>-5</v>
      </c>
      <c r="E19" t="s">
        <v>43</v>
      </c>
      <c r="F19">
        <v>1</v>
      </c>
      <c r="G19">
        <v>0.55409610000060605</v>
      </c>
      <c r="H19" t="s">
        <v>44</v>
      </c>
      <c r="I19">
        <v>16</v>
      </c>
      <c r="J19">
        <v>0</v>
      </c>
      <c r="K19">
        <v>16</v>
      </c>
      <c r="L19">
        <v>0</v>
      </c>
      <c r="M19">
        <v>34.924233099998602</v>
      </c>
      <c r="R19">
        <v>34.910071899998002</v>
      </c>
      <c r="S19">
        <v>34.924233099998602</v>
      </c>
      <c r="T19">
        <v>35.924716099998399</v>
      </c>
      <c r="U19">
        <v>35.924716099998399</v>
      </c>
      <c r="V19">
        <v>36.493773800000703</v>
      </c>
      <c r="W19">
        <v>-5</v>
      </c>
      <c r="X19" t="s">
        <v>43</v>
      </c>
      <c r="Y19">
        <v>1</v>
      </c>
      <c r="Z19">
        <v>0.55409610000060605</v>
      </c>
      <c r="AA19" t="s">
        <v>44</v>
      </c>
      <c r="AF19" t="s">
        <v>38</v>
      </c>
      <c r="AG19">
        <v>1</v>
      </c>
      <c r="AH19" t="s">
        <v>39</v>
      </c>
      <c r="AI19" t="s">
        <v>40</v>
      </c>
      <c r="AJ19" t="s">
        <v>41</v>
      </c>
      <c r="AK19">
        <v>60.0154719877155</v>
      </c>
      <c r="AL19" t="s">
        <v>42</v>
      </c>
    </row>
    <row r="20" spans="1:38" x14ac:dyDescent="0.35">
      <c r="A20">
        <v>17</v>
      </c>
      <c r="B20">
        <v>0</v>
      </c>
      <c r="C20">
        <v>17</v>
      </c>
      <c r="D20">
        <v>2</v>
      </c>
      <c r="E20" t="s">
        <v>43</v>
      </c>
      <c r="F20">
        <v>1</v>
      </c>
      <c r="G20">
        <v>0.654024899999058</v>
      </c>
      <c r="H20" t="s">
        <v>44</v>
      </c>
      <c r="I20">
        <v>17</v>
      </c>
      <c r="J20">
        <v>0</v>
      </c>
      <c r="K20">
        <v>17</v>
      </c>
      <c r="L20">
        <v>0</v>
      </c>
      <c r="M20">
        <v>36.5077032999979</v>
      </c>
      <c r="R20">
        <v>36.494433299998398</v>
      </c>
      <c r="S20">
        <v>36.5077032999979</v>
      </c>
      <c r="T20">
        <v>37.508015200000898</v>
      </c>
      <c r="U20">
        <v>37.508015200000898</v>
      </c>
      <c r="V20">
        <v>38.177179700000103</v>
      </c>
      <c r="W20">
        <v>2</v>
      </c>
      <c r="X20" t="s">
        <v>43</v>
      </c>
      <c r="Y20">
        <v>1</v>
      </c>
      <c r="Z20">
        <v>0.654024899999058</v>
      </c>
      <c r="AA20" t="s">
        <v>44</v>
      </c>
      <c r="AF20" t="s">
        <v>38</v>
      </c>
      <c r="AG20">
        <v>1</v>
      </c>
      <c r="AH20" t="s">
        <v>39</v>
      </c>
      <c r="AI20" t="s">
        <v>40</v>
      </c>
      <c r="AJ20" t="s">
        <v>41</v>
      </c>
      <c r="AK20">
        <v>60.0154719877155</v>
      </c>
      <c r="AL20" t="s">
        <v>42</v>
      </c>
    </row>
    <row r="21" spans="1:38" x14ac:dyDescent="0.35">
      <c r="A21">
        <v>18</v>
      </c>
      <c r="B21">
        <v>0</v>
      </c>
      <c r="C21">
        <v>18</v>
      </c>
      <c r="D21">
        <v>-3</v>
      </c>
      <c r="E21" t="s">
        <v>43</v>
      </c>
      <c r="F21">
        <v>1</v>
      </c>
      <c r="G21">
        <v>0.65755249999710896</v>
      </c>
      <c r="H21" t="s">
        <v>44</v>
      </c>
      <c r="I21">
        <v>18</v>
      </c>
      <c r="J21">
        <v>0</v>
      </c>
      <c r="K21">
        <v>18</v>
      </c>
      <c r="L21">
        <v>0</v>
      </c>
      <c r="M21">
        <v>38.191063199999903</v>
      </c>
      <c r="R21">
        <v>38.177731499999901</v>
      </c>
      <c r="S21">
        <v>38.191063199999903</v>
      </c>
      <c r="T21">
        <v>39.191316599997599</v>
      </c>
      <c r="U21">
        <v>39.191316599997599</v>
      </c>
      <c r="V21">
        <v>39.860561699999302</v>
      </c>
      <c r="W21">
        <v>-3</v>
      </c>
      <c r="X21" t="s">
        <v>43</v>
      </c>
      <c r="Y21">
        <v>1</v>
      </c>
      <c r="Z21">
        <v>0.65755249999710896</v>
      </c>
      <c r="AA21" t="s">
        <v>44</v>
      </c>
      <c r="AF21" t="s">
        <v>38</v>
      </c>
      <c r="AG21">
        <v>1</v>
      </c>
      <c r="AH21" t="s">
        <v>39</v>
      </c>
      <c r="AI21" t="s">
        <v>40</v>
      </c>
      <c r="AJ21" t="s">
        <v>41</v>
      </c>
      <c r="AK21">
        <v>60.0154719877155</v>
      </c>
      <c r="AL21" t="s">
        <v>42</v>
      </c>
    </row>
    <row r="22" spans="1:38" x14ac:dyDescent="0.35">
      <c r="A22">
        <v>19</v>
      </c>
      <c r="B22">
        <v>0</v>
      </c>
      <c r="C22">
        <v>19</v>
      </c>
      <c r="D22">
        <v>-3</v>
      </c>
      <c r="E22" t="s">
        <v>43</v>
      </c>
      <c r="F22">
        <v>1</v>
      </c>
      <c r="G22">
        <v>0.65925200000128803</v>
      </c>
      <c r="H22" t="s">
        <v>44</v>
      </c>
      <c r="I22">
        <v>19</v>
      </c>
      <c r="J22">
        <v>0</v>
      </c>
      <c r="K22">
        <v>19</v>
      </c>
      <c r="L22">
        <v>0</v>
      </c>
      <c r="M22">
        <v>39.874276300000901</v>
      </c>
      <c r="R22">
        <v>39.8610370999995</v>
      </c>
      <c r="S22">
        <v>39.874276300000901</v>
      </c>
      <c r="T22">
        <v>40.874530599998202</v>
      </c>
      <c r="U22">
        <v>40.874530599998202</v>
      </c>
      <c r="V22">
        <v>41.543825900000201</v>
      </c>
      <c r="W22">
        <v>-3</v>
      </c>
      <c r="X22" t="s">
        <v>43</v>
      </c>
      <c r="Y22">
        <v>1</v>
      </c>
      <c r="Z22">
        <v>0.65925200000128803</v>
      </c>
      <c r="AA22" t="s">
        <v>44</v>
      </c>
      <c r="AF22" t="s">
        <v>38</v>
      </c>
      <c r="AG22">
        <v>1</v>
      </c>
      <c r="AH22" t="s">
        <v>39</v>
      </c>
      <c r="AI22" t="s">
        <v>40</v>
      </c>
      <c r="AJ22" t="s">
        <v>41</v>
      </c>
      <c r="AK22">
        <v>60.0154719877155</v>
      </c>
      <c r="AL22" t="s">
        <v>42</v>
      </c>
    </row>
    <row r="23" spans="1:38" x14ac:dyDescent="0.35">
      <c r="A23">
        <v>20</v>
      </c>
      <c r="B23">
        <v>0</v>
      </c>
      <c r="C23">
        <v>20</v>
      </c>
      <c r="D23">
        <v>-2</v>
      </c>
      <c r="E23" t="s">
        <v>43</v>
      </c>
      <c r="F23">
        <v>1</v>
      </c>
      <c r="G23">
        <v>0.631792799998947</v>
      </c>
      <c r="H23" t="s">
        <v>44</v>
      </c>
      <c r="I23">
        <v>20</v>
      </c>
      <c r="J23">
        <v>0</v>
      </c>
      <c r="K23">
        <v>20</v>
      </c>
      <c r="L23">
        <v>0</v>
      </c>
      <c r="M23">
        <v>41.557794100000997</v>
      </c>
      <c r="R23">
        <v>41.544253199997897</v>
      </c>
      <c r="S23">
        <v>41.557794100000997</v>
      </c>
      <c r="T23">
        <v>42.557874199999702</v>
      </c>
      <c r="U23">
        <v>42.557874199999702</v>
      </c>
      <c r="V23">
        <v>43.193288999998899</v>
      </c>
      <c r="W23">
        <v>-2</v>
      </c>
      <c r="X23" t="s">
        <v>43</v>
      </c>
      <c r="Y23">
        <v>1</v>
      </c>
      <c r="Z23">
        <v>0.631792799998947</v>
      </c>
      <c r="AA23" t="s">
        <v>44</v>
      </c>
      <c r="AF23" t="s">
        <v>38</v>
      </c>
      <c r="AG23">
        <v>1</v>
      </c>
      <c r="AH23" t="s">
        <v>39</v>
      </c>
      <c r="AI23" t="s">
        <v>40</v>
      </c>
      <c r="AJ23" t="s">
        <v>41</v>
      </c>
      <c r="AK23">
        <v>60.0154719877155</v>
      </c>
      <c r="AL23" t="s">
        <v>42</v>
      </c>
    </row>
    <row r="24" spans="1:38" x14ac:dyDescent="0.35">
      <c r="A24">
        <v>21</v>
      </c>
      <c r="B24">
        <v>0</v>
      </c>
      <c r="C24">
        <v>21</v>
      </c>
      <c r="D24">
        <v>0</v>
      </c>
      <c r="E24" t="s">
        <v>45</v>
      </c>
      <c r="F24">
        <v>1</v>
      </c>
      <c r="G24">
        <v>0.39281549999941401</v>
      </c>
      <c r="H24" t="s">
        <v>44</v>
      </c>
      <c r="I24">
        <v>21</v>
      </c>
      <c r="J24">
        <v>0</v>
      </c>
      <c r="K24">
        <v>21</v>
      </c>
      <c r="L24">
        <v>0</v>
      </c>
      <c r="M24">
        <v>43.207799600000698</v>
      </c>
      <c r="R24">
        <v>43.193747199999002</v>
      </c>
      <c r="S24">
        <v>43.207799600000698</v>
      </c>
      <c r="T24">
        <v>44.207724899999398</v>
      </c>
      <c r="U24">
        <v>44.207724899999398</v>
      </c>
      <c r="V24">
        <v>44.6096402000002</v>
      </c>
      <c r="W24">
        <v>0</v>
      </c>
      <c r="X24" t="s">
        <v>45</v>
      </c>
      <c r="Y24">
        <v>1</v>
      </c>
      <c r="Z24">
        <v>0.39281549999941401</v>
      </c>
      <c r="AA24" t="s">
        <v>44</v>
      </c>
      <c r="AF24" t="s">
        <v>38</v>
      </c>
      <c r="AG24">
        <v>1</v>
      </c>
      <c r="AH24" t="s">
        <v>39</v>
      </c>
      <c r="AI24" t="s">
        <v>40</v>
      </c>
      <c r="AJ24" t="s">
        <v>41</v>
      </c>
      <c r="AK24">
        <v>60.0154719877155</v>
      </c>
      <c r="AL24" t="s">
        <v>42</v>
      </c>
    </row>
    <row r="25" spans="1:38" x14ac:dyDescent="0.35">
      <c r="A25">
        <v>22</v>
      </c>
      <c r="B25">
        <v>0</v>
      </c>
      <c r="C25">
        <v>22</v>
      </c>
      <c r="D25">
        <v>-4</v>
      </c>
      <c r="E25" t="s">
        <v>43</v>
      </c>
      <c r="F25">
        <v>1</v>
      </c>
      <c r="G25">
        <v>0.68225480000182803</v>
      </c>
      <c r="H25" t="s">
        <v>44</v>
      </c>
      <c r="I25">
        <v>22</v>
      </c>
      <c r="J25">
        <v>0</v>
      </c>
      <c r="K25">
        <v>22</v>
      </c>
      <c r="L25">
        <v>0</v>
      </c>
      <c r="M25">
        <v>44.630233399999199</v>
      </c>
      <c r="R25">
        <v>44.610207199999401</v>
      </c>
      <c r="S25">
        <v>44.630233399999199</v>
      </c>
      <c r="T25">
        <v>45.624375699997401</v>
      </c>
      <c r="U25">
        <v>45.641101400000402</v>
      </c>
      <c r="V25">
        <v>46.311586899999298</v>
      </c>
      <c r="W25">
        <v>-4</v>
      </c>
      <c r="X25" t="s">
        <v>43</v>
      </c>
      <c r="Y25">
        <v>1</v>
      </c>
      <c r="Z25">
        <v>0.68225480000182803</v>
      </c>
      <c r="AA25" t="s">
        <v>44</v>
      </c>
      <c r="AF25" t="s">
        <v>38</v>
      </c>
      <c r="AG25">
        <v>1</v>
      </c>
      <c r="AH25" t="s">
        <v>39</v>
      </c>
      <c r="AI25" t="s">
        <v>40</v>
      </c>
      <c r="AJ25" t="s">
        <v>41</v>
      </c>
      <c r="AK25">
        <v>60.0154719877155</v>
      </c>
      <c r="AL25" t="s">
        <v>42</v>
      </c>
    </row>
    <row r="26" spans="1:38" x14ac:dyDescent="0.35">
      <c r="A26">
        <v>23</v>
      </c>
      <c r="B26">
        <v>0</v>
      </c>
      <c r="C26">
        <v>23</v>
      </c>
      <c r="D26">
        <v>0</v>
      </c>
      <c r="E26" t="s">
        <v>45</v>
      </c>
      <c r="F26">
        <v>1</v>
      </c>
      <c r="G26">
        <v>0.98360450000109201</v>
      </c>
      <c r="H26" t="s">
        <v>44</v>
      </c>
      <c r="I26">
        <v>23</v>
      </c>
      <c r="J26">
        <v>0</v>
      </c>
      <c r="K26">
        <v>23</v>
      </c>
      <c r="L26">
        <v>0</v>
      </c>
      <c r="M26">
        <v>46.3241266999975</v>
      </c>
      <c r="R26">
        <v>46.311975000000501</v>
      </c>
      <c r="S26">
        <v>46.3241266999975</v>
      </c>
      <c r="T26">
        <v>47.324252599999397</v>
      </c>
      <c r="U26">
        <v>47.324252599999397</v>
      </c>
      <c r="V26">
        <v>48.309963299998302</v>
      </c>
      <c r="W26">
        <v>0</v>
      </c>
      <c r="X26" t="s">
        <v>45</v>
      </c>
      <c r="Y26">
        <v>1</v>
      </c>
      <c r="Z26">
        <v>0.98360450000109201</v>
      </c>
      <c r="AA26" t="s">
        <v>44</v>
      </c>
      <c r="AF26" t="s">
        <v>38</v>
      </c>
      <c r="AG26">
        <v>1</v>
      </c>
      <c r="AH26" t="s">
        <v>39</v>
      </c>
      <c r="AI26" t="s">
        <v>40</v>
      </c>
      <c r="AJ26" t="s">
        <v>41</v>
      </c>
      <c r="AK26">
        <v>60.0154719877155</v>
      </c>
      <c r="AL26" t="s">
        <v>42</v>
      </c>
    </row>
    <row r="27" spans="1:38" x14ac:dyDescent="0.35">
      <c r="A27">
        <v>24</v>
      </c>
      <c r="B27">
        <v>0</v>
      </c>
      <c r="C27">
        <v>24</v>
      </c>
      <c r="D27">
        <v>3</v>
      </c>
      <c r="E27" t="s">
        <v>43</v>
      </c>
      <c r="F27">
        <v>1</v>
      </c>
      <c r="G27">
        <v>0.64315440000063895</v>
      </c>
      <c r="H27" t="s">
        <v>44</v>
      </c>
      <c r="I27">
        <v>24</v>
      </c>
      <c r="J27">
        <v>0</v>
      </c>
      <c r="K27">
        <v>24</v>
      </c>
      <c r="L27">
        <v>0</v>
      </c>
      <c r="M27">
        <v>48.323997600000403</v>
      </c>
      <c r="R27">
        <v>48.310412299997502</v>
      </c>
      <c r="S27">
        <v>48.323997600000403</v>
      </c>
      <c r="T27">
        <v>49.324325400000802</v>
      </c>
      <c r="U27">
        <v>49.324325400000802</v>
      </c>
      <c r="V27">
        <v>49.975747299999</v>
      </c>
      <c r="W27">
        <v>3</v>
      </c>
      <c r="X27" t="s">
        <v>43</v>
      </c>
      <c r="Y27">
        <v>1</v>
      </c>
      <c r="Z27">
        <v>0.64315440000063895</v>
      </c>
      <c r="AA27" t="s">
        <v>44</v>
      </c>
      <c r="AF27" t="s">
        <v>38</v>
      </c>
      <c r="AG27">
        <v>1</v>
      </c>
      <c r="AH27" t="s">
        <v>39</v>
      </c>
      <c r="AI27" t="s">
        <v>40</v>
      </c>
      <c r="AJ27" t="s">
        <v>41</v>
      </c>
      <c r="AK27">
        <v>60.0154719877155</v>
      </c>
      <c r="AL27" t="s">
        <v>42</v>
      </c>
    </row>
    <row r="28" spans="1:38" x14ac:dyDescent="0.35">
      <c r="A28">
        <v>25</v>
      </c>
      <c r="B28">
        <v>0</v>
      </c>
      <c r="C28">
        <v>25</v>
      </c>
      <c r="D28">
        <v>0</v>
      </c>
      <c r="E28" t="s">
        <v>43</v>
      </c>
      <c r="F28">
        <v>0</v>
      </c>
      <c r="G28">
        <v>0.68212399999902096</v>
      </c>
      <c r="H28" t="s">
        <v>44</v>
      </c>
      <c r="I28">
        <v>25</v>
      </c>
      <c r="J28">
        <v>0</v>
      </c>
      <c r="K28">
        <v>25</v>
      </c>
      <c r="L28">
        <v>0</v>
      </c>
      <c r="M28">
        <v>49.990641000000302</v>
      </c>
      <c r="R28">
        <v>49.9761345999977</v>
      </c>
      <c r="S28">
        <v>49.990641000000302</v>
      </c>
      <c r="T28">
        <v>50.9905703000004</v>
      </c>
      <c r="U28">
        <v>50.9905703000004</v>
      </c>
      <c r="V28">
        <v>51.678566999998999</v>
      </c>
      <c r="W28">
        <v>0</v>
      </c>
      <c r="X28" t="s">
        <v>43</v>
      </c>
      <c r="Y28">
        <v>0</v>
      </c>
      <c r="Z28">
        <v>0.68212399999902096</v>
      </c>
      <c r="AA28" t="s">
        <v>44</v>
      </c>
      <c r="AF28" t="s">
        <v>38</v>
      </c>
      <c r="AG28">
        <v>1</v>
      </c>
      <c r="AH28" t="s">
        <v>39</v>
      </c>
      <c r="AI28" t="s">
        <v>40</v>
      </c>
      <c r="AJ28" t="s">
        <v>41</v>
      </c>
      <c r="AK28">
        <v>60.0154719877155</v>
      </c>
      <c r="AL28" t="s">
        <v>42</v>
      </c>
    </row>
    <row r="29" spans="1:38" x14ac:dyDescent="0.35">
      <c r="A29">
        <v>26</v>
      </c>
      <c r="B29">
        <v>0</v>
      </c>
      <c r="C29">
        <v>26</v>
      </c>
      <c r="D29">
        <v>-5</v>
      </c>
      <c r="E29" t="s">
        <v>43</v>
      </c>
      <c r="F29">
        <v>1</v>
      </c>
      <c r="G29">
        <v>1.0088049000005399</v>
      </c>
      <c r="H29" t="s">
        <v>44</v>
      </c>
      <c r="I29">
        <v>26</v>
      </c>
      <c r="J29">
        <v>0</v>
      </c>
      <c r="K29">
        <v>26</v>
      </c>
      <c r="L29">
        <v>0</v>
      </c>
      <c r="M29">
        <v>51.690878099998301</v>
      </c>
      <c r="R29">
        <v>51.679079400000703</v>
      </c>
      <c r="S29">
        <v>51.690878099998301</v>
      </c>
      <c r="T29">
        <v>52.690796399998298</v>
      </c>
      <c r="U29">
        <v>52.690796399998298</v>
      </c>
      <c r="V29">
        <v>53.710568800000999</v>
      </c>
      <c r="W29">
        <v>-5</v>
      </c>
      <c r="X29" t="s">
        <v>43</v>
      </c>
      <c r="Y29">
        <v>1</v>
      </c>
      <c r="Z29">
        <v>1.0088049000005399</v>
      </c>
      <c r="AA29" t="s">
        <v>44</v>
      </c>
      <c r="AF29" t="s">
        <v>38</v>
      </c>
      <c r="AG29">
        <v>1</v>
      </c>
      <c r="AH29" t="s">
        <v>39</v>
      </c>
      <c r="AI29" t="s">
        <v>40</v>
      </c>
      <c r="AJ29" t="s">
        <v>41</v>
      </c>
      <c r="AK29">
        <v>60.0154719877155</v>
      </c>
      <c r="AL29" t="s">
        <v>42</v>
      </c>
    </row>
    <row r="30" spans="1:38" x14ac:dyDescent="0.35">
      <c r="A30">
        <v>27</v>
      </c>
      <c r="B30">
        <v>0</v>
      </c>
      <c r="C30">
        <v>27</v>
      </c>
      <c r="D30">
        <v>0</v>
      </c>
      <c r="E30" t="s">
        <v>45</v>
      </c>
      <c r="F30">
        <v>1</v>
      </c>
      <c r="G30">
        <v>0.77865369999926703</v>
      </c>
      <c r="H30" t="s">
        <v>44</v>
      </c>
      <c r="I30">
        <v>27</v>
      </c>
      <c r="J30">
        <v>0</v>
      </c>
      <c r="K30">
        <v>27</v>
      </c>
      <c r="L30">
        <v>0</v>
      </c>
      <c r="M30">
        <v>53.7240415999986</v>
      </c>
      <c r="R30">
        <v>53.7110524999989</v>
      </c>
      <c r="S30">
        <v>53.7240415999986</v>
      </c>
      <c r="T30">
        <v>54.724351099997797</v>
      </c>
      <c r="U30">
        <v>54.724351099997797</v>
      </c>
      <c r="V30">
        <v>55.509813399999899</v>
      </c>
      <c r="W30">
        <v>0</v>
      </c>
      <c r="X30" t="s">
        <v>45</v>
      </c>
      <c r="Y30">
        <v>1</v>
      </c>
      <c r="Z30">
        <v>0.77865369999926703</v>
      </c>
      <c r="AA30" t="s">
        <v>44</v>
      </c>
      <c r="AF30" t="s">
        <v>38</v>
      </c>
      <c r="AG30">
        <v>1</v>
      </c>
      <c r="AH30" t="s">
        <v>39</v>
      </c>
      <c r="AI30" t="s">
        <v>40</v>
      </c>
      <c r="AJ30" t="s">
        <v>41</v>
      </c>
      <c r="AK30">
        <v>60.0154719877155</v>
      </c>
      <c r="AL30" t="s">
        <v>42</v>
      </c>
    </row>
    <row r="31" spans="1:38" x14ac:dyDescent="0.35">
      <c r="A31">
        <v>28</v>
      </c>
      <c r="B31">
        <v>0</v>
      </c>
      <c r="C31">
        <v>28</v>
      </c>
      <c r="D31">
        <v>0</v>
      </c>
      <c r="E31" t="s">
        <v>45</v>
      </c>
      <c r="F31">
        <v>1</v>
      </c>
      <c r="G31">
        <v>0.63420060000134904</v>
      </c>
      <c r="H31" t="s">
        <v>44</v>
      </c>
      <c r="I31">
        <v>28</v>
      </c>
      <c r="J31">
        <v>0</v>
      </c>
      <c r="K31">
        <v>28</v>
      </c>
      <c r="L31">
        <v>0</v>
      </c>
      <c r="M31">
        <v>55.524153999998802</v>
      </c>
      <c r="R31">
        <v>55.510290099999096</v>
      </c>
      <c r="S31">
        <v>55.524153999998802</v>
      </c>
      <c r="T31">
        <v>56.524203400000196</v>
      </c>
      <c r="U31">
        <v>56.524203400000196</v>
      </c>
      <c r="V31">
        <v>57.175377499999698</v>
      </c>
      <c r="W31">
        <v>0</v>
      </c>
      <c r="X31" t="s">
        <v>45</v>
      </c>
      <c r="Y31">
        <v>1</v>
      </c>
      <c r="Z31">
        <v>0.63420060000134904</v>
      </c>
      <c r="AA31" t="s">
        <v>44</v>
      </c>
      <c r="AF31" t="s">
        <v>38</v>
      </c>
      <c r="AG31">
        <v>1</v>
      </c>
      <c r="AH31" t="s">
        <v>39</v>
      </c>
      <c r="AI31" t="s">
        <v>40</v>
      </c>
      <c r="AJ31" t="s">
        <v>41</v>
      </c>
      <c r="AK31">
        <v>60.0154719877155</v>
      </c>
      <c r="AL31" t="s">
        <v>42</v>
      </c>
    </row>
    <row r="32" spans="1:38" x14ac:dyDescent="0.35">
      <c r="A32">
        <v>29</v>
      </c>
      <c r="B32">
        <v>0</v>
      </c>
      <c r="C32">
        <v>29</v>
      </c>
      <c r="D32">
        <v>0</v>
      </c>
      <c r="E32" t="s">
        <v>45</v>
      </c>
      <c r="F32">
        <v>1</v>
      </c>
      <c r="G32">
        <v>0.63926609999907602</v>
      </c>
      <c r="H32" t="s">
        <v>44</v>
      </c>
      <c r="I32">
        <v>29</v>
      </c>
      <c r="J32">
        <v>0</v>
      </c>
      <c r="K32">
        <v>29</v>
      </c>
      <c r="L32">
        <v>0</v>
      </c>
      <c r="M32">
        <v>57.190977800000802</v>
      </c>
      <c r="R32">
        <v>57.175868599999298</v>
      </c>
      <c r="S32">
        <v>57.190977800000802</v>
      </c>
      <c r="T32">
        <v>58.190721499999199</v>
      </c>
      <c r="U32">
        <v>58.190721499999199</v>
      </c>
      <c r="V32">
        <v>58.842814699997597</v>
      </c>
      <c r="W32">
        <v>0</v>
      </c>
      <c r="X32" t="s">
        <v>45</v>
      </c>
      <c r="Y32">
        <v>1</v>
      </c>
      <c r="Z32">
        <v>0.63926609999907602</v>
      </c>
      <c r="AA32" t="s">
        <v>44</v>
      </c>
      <c r="AF32" t="s">
        <v>38</v>
      </c>
      <c r="AG32">
        <v>1</v>
      </c>
      <c r="AH32" t="s">
        <v>39</v>
      </c>
      <c r="AI32" t="s">
        <v>40</v>
      </c>
      <c r="AJ32" t="s">
        <v>41</v>
      </c>
      <c r="AK32">
        <v>60.0154719877155</v>
      </c>
      <c r="AL32" t="s">
        <v>42</v>
      </c>
    </row>
    <row r="33" spans="1:38" x14ac:dyDescent="0.35">
      <c r="A33">
        <v>30</v>
      </c>
      <c r="B33">
        <v>0</v>
      </c>
      <c r="C33">
        <v>30</v>
      </c>
      <c r="D33">
        <v>0</v>
      </c>
      <c r="E33" t="s">
        <v>45</v>
      </c>
      <c r="F33">
        <v>1</v>
      </c>
      <c r="G33">
        <v>0.76744850000250098</v>
      </c>
      <c r="H33" t="s">
        <v>44</v>
      </c>
      <c r="I33">
        <v>30</v>
      </c>
      <c r="J33">
        <v>0</v>
      </c>
      <c r="K33">
        <v>30</v>
      </c>
      <c r="L33">
        <v>0</v>
      </c>
      <c r="M33">
        <v>58.857211099999397</v>
      </c>
      <c r="R33">
        <v>58.843286600000198</v>
      </c>
      <c r="S33">
        <v>58.857211099999397</v>
      </c>
      <c r="T33">
        <v>59.857319099999501</v>
      </c>
      <c r="U33">
        <v>59.857319099999501</v>
      </c>
      <c r="V33">
        <v>60.630428099997502</v>
      </c>
      <c r="W33">
        <v>0</v>
      </c>
      <c r="X33" t="s">
        <v>45</v>
      </c>
      <c r="Y33">
        <v>1</v>
      </c>
      <c r="Z33">
        <v>0.76744850000250098</v>
      </c>
      <c r="AA33" t="s">
        <v>44</v>
      </c>
      <c r="AF33" t="s">
        <v>38</v>
      </c>
      <c r="AG33">
        <v>1</v>
      </c>
      <c r="AH33" t="s">
        <v>39</v>
      </c>
      <c r="AI33" t="s">
        <v>40</v>
      </c>
      <c r="AJ33" t="s">
        <v>41</v>
      </c>
      <c r="AK33">
        <v>60.0154719877155</v>
      </c>
      <c r="AL33" t="s">
        <v>42</v>
      </c>
    </row>
    <row r="34" spans="1:38" x14ac:dyDescent="0.35">
      <c r="A34">
        <v>31</v>
      </c>
      <c r="B34">
        <v>0</v>
      </c>
      <c r="C34">
        <v>31</v>
      </c>
      <c r="D34">
        <v>0</v>
      </c>
      <c r="E34" t="s">
        <v>43</v>
      </c>
      <c r="F34">
        <v>0</v>
      </c>
      <c r="G34">
        <v>0.58944110000084005</v>
      </c>
      <c r="H34" t="s">
        <v>44</v>
      </c>
      <c r="I34">
        <v>31</v>
      </c>
      <c r="J34">
        <v>0</v>
      </c>
      <c r="K34">
        <v>31</v>
      </c>
      <c r="L34">
        <v>0</v>
      </c>
      <c r="M34">
        <v>60.640523399997598</v>
      </c>
      <c r="R34">
        <v>60.630928499998802</v>
      </c>
      <c r="S34">
        <v>60.640523399997598</v>
      </c>
      <c r="T34">
        <v>61.640936299998401</v>
      </c>
      <c r="U34">
        <v>61.640936299998401</v>
      </c>
      <c r="V34">
        <v>62.243330400000502</v>
      </c>
      <c r="W34">
        <v>0</v>
      </c>
      <c r="X34" t="s">
        <v>43</v>
      </c>
      <c r="Y34">
        <v>0</v>
      </c>
      <c r="Z34">
        <v>0.58944110000084005</v>
      </c>
      <c r="AA34" t="s">
        <v>44</v>
      </c>
      <c r="AF34" t="s">
        <v>38</v>
      </c>
      <c r="AG34">
        <v>1</v>
      </c>
      <c r="AH34" t="s">
        <v>39</v>
      </c>
      <c r="AI34" t="s">
        <v>40</v>
      </c>
      <c r="AJ34" t="s">
        <v>41</v>
      </c>
      <c r="AK34">
        <v>60.0154719877155</v>
      </c>
      <c r="AL34" t="s">
        <v>42</v>
      </c>
    </row>
    <row r="35" spans="1:38" x14ac:dyDescent="0.35">
      <c r="A35">
        <v>32</v>
      </c>
      <c r="B35">
        <v>0</v>
      </c>
      <c r="C35">
        <v>32</v>
      </c>
      <c r="D35">
        <v>-4</v>
      </c>
      <c r="E35" t="s">
        <v>43</v>
      </c>
      <c r="F35">
        <v>1</v>
      </c>
      <c r="G35">
        <v>0.76697480000075302</v>
      </c>
      <c r="H35" t="s">
        <v>44</v>
      </c>
      <c r="I35">
        <v>32</v>
      </c>
      <c r="J35">
        <v>0</v>
      </c>
      <c r="K35">
        <v>32</v>
      </c>
      <c r="L35">
        <v>0</v>
      </c>
      <c r="M35">
        <v>62.2574619000006</v>
      </c>
      <c r="R35">
        <v>62.243930500000701</v>
      </c>
      <c r="S35">
        <v>62.2574619000006</v>
      </c>
      <c r="T35">
        <v>63.257888100000798</v>
      </c>
      <c r="U35">
        <v>63.257888100000798</v>
      </c>
      <c r="V35">
        <v>64.042010099998095</v>
      </c>
      <c r="W35">
        <v>-4</v>
      </c>
      <c r="X35" t="s">
        <v>43</v>
      </c>
      <c r="Y35">
        <v>1</v>
      </c>
      <c r="Z35">
        <v>0.76697480000075302</v>
      </c>
      <c r="AA35" t="s">
        <v>44</v>
      </c>
      <c r="AF35" t="s">
        <v>38</v>
      </c>
      <c r="AG35">
        <v>1</v>
      </c>
      <c r="AH35" t="s">
        <v>39</v>
      </c>
      <c r="AI35" t="s">
        <v>40</v>
      </c>
      <c r="AJ35" t="s">
        <v>41</v>
      </c>
      <c r="AK35">
        <v>60.0154719877155</v>
      </c>
      <c r="AL35" t="s">
        <v>42</v>
      </c>
    </row>
    <row r="36" spans="1:38" x14ac:dyDescent="0.35">
      <c r="A36">
        <v>33</v>
      </c>
      <c r="B36">
        <v>0</v>
      </c>
      <c r="C36">
        <v>33</v>
      </c>
      <c r="D36">
        <v>0</v>
      </c>
      <c r="E36" t="s">
        <v>45</v>
      </c>
      <c r="F36">
        <v>1</v>
      </c>
      <c r="G36">
        <v>0.75240849999681803</v>
      </c>
      <c r="H36" t="s">
        <v>44</v>
      </c>
      <c r="I36">
        <v>33</v>
      </c>
      <c r="J36">
        <v>0</v>
      </c>
      <c r="K36">
        <v>33</v>
      </c>
      <c r="L36">
        <v>0</v>
      </c>
      <c r="M36">
        <v>64.056981300000103</v>
      </c>
      <c r="R36">
        <v>64.042538400000893</v>
      </c>
      <c r="S36">
        <v>64.056981300000103</v>
      </c>
      <c r="T36">
        <v>65.058071899999007</v>
      </c>
      <c r="U36">
        <v>65.058071899999007</v>
      </c>
      <c r="V36">
        <v>65.826071399998895</v>
      </c>
      <c r="W36">
        <v>0</v>
      </c>
      <c r="X36" t="s">
        <v>45</v>
      </c>
      <c r="Y36">
        <v>1</v>
      </c>
      <c r="Z36">
        <v>0.75240849999681803</v>
      </c>
      <c r="AA36" t="s">
        <v>44</v>
      </c>
      <c r="AF36" t="s">
        <v>38</v>
      </c>
      <c r="AG36">
        <v>1</v>
      </c>
      <c r="AH36" t="s">
        <v>39</v>
      </c>
      <c r="AI36" t="s">
        <v>40</v>
      </c>
      <c r="AJ36" t="s">
        <v>41</v>
      </c>
      <c r="AK36">
        <v>60.0154719877155</v>
      </c>
      <c r="AL36" t="s">
        <v>42</v>
      </c>
    </row>
    <row r="37" spans="1:38" x14ac:dyDescent="0.35">
      <c r="A37">
        <v>34</v>
      </c>
      <c r="B37">
        <v>0</v>
      </c>
      <c r="C37">
        <v>34</v>
      </c>
      <c r="D37">
        <v>0</v>
      </c>
      <c r="E37" t="s">
        <v>43</v>
      </c>
      <c r="F37">
        <v>0</v>
      </c>
      <c r="G37">
        <v>0.89661799999885206</v>
      </c>
      <c r="H37" t="s">
        <v>44</v>
      </c>
      <c r="I37">
        <v>34</v>
      </c>
      <c r="J37">
        <v>0</v>
      </c>
      <c r="K37">
        <v>34</v>
      </c>
      <c r="L37">
        <v>0</v>
      </c>
      <c r="M37">
        <v>65.840814399998607</v>
      </c>
      <c r="R37">
        <v>65.826710699999197</v>
      </c>
      <c r="S37">
        <v>65.840814399998607</v>
      </c>
      <c r="T37">
        <v>66.840828699998298</v>
      </c>
      <c r="U37">
        <v>66.840828699998298</v>
      </c>
      <c r="V37">
        <v>67.742708800000401</v>
      </c>
      <c r="W37">
        <v>0</v>
      </c>
      <c r="X37" t="s">
        <v>43</v>
      </c>
      <c r="Y37">
        <v>0</v>
      </c>
      <c r="Z37">
        <v>0.89661799999885206</v>
      </c>
      <c r="AA37" t="s">
        <v>44</v>
      </c>
      <c r="AF37" t="s">
        <v>38</v>
      </c>
      <c r="AG37">
        <v>1</v>
      </c>
      <c r="AH37" t="s">
        <v>39</v>
      </c>
      <c r="AI37" t="s">
        <v>40</v>
      </c>
      <c r="AJ37" t="s">
        <v>41</v>
      </c>
      <c r="AK37">
        <v>60.0154719877155</v>
      </c>
      <c r="AL37" t="s">
        <v>42</v>
      </c>
    </row>
    <row r="38" spans="1:38" x14ac:dyDescent="0.35">
      <c r="A38">
        <v>35</v>
      </c>
      <c r="B38">
        <v>0</v>
      </c>
      <c r="C38">
        <v>35</v>
      </c>
      <c r="D38">
        <v>3</v>
      </c>
      <c r="E38" t="s">
        <v>45</v>
      </c>
      <c r="F38">
        <v>0</v>
      </c>
      <c r="G38">
        <v>0.50047880000056399</v>
      </c>
      <c r="H38" t="s">
        <v>44</v>
      </c>
      <c r="I38">
        <v>35</v>
      </c>
      <c r="J38">
        <v>0</v>
      </c>
      <c r="K38">
        <v>35</v>
      </c>
      <c r="L38">
        <v>0</v>
      </c>
      <c r="M38">
        <v>67.757000400000805</v>
      </c>
      <c r="R38">
        <v>67.743108499998897</v>
      </c>
      <c r="S38">
        <v>67.757000400000805</v>
      </c>
      <c r="T38">
        <v>68.757343799999902</v>
      </c>
      <c r="U38">
        <v>68.757343799999902</v>
      </c>
      <c r="V38">
        <v>69.261139399997703</v>
      </c>
      <c r="W38">
        <v>3</v>
      </c>
      <c r="X38" t="s">
        <v>45</v>
      </c>
      <c r="Y38">
        <v>0</v>
      </c>
      <c r="Z38">
        <v>0.50047880000056399</v>
      </c>
      <c r="AA38" t="s">
        <v>44</v>
      </c>
      <c r="AF38" t="s">
        <v>38</v>
      </c>
      <c r="AG38">
        <v>1</v>
      </c>
      <c r="AH38" t="s">
        <v>39</v>
      </c>
      <c r="AI38" t="s">
        <v>40</v>
      </c>
      <c r="AJ38" t="s">
        <v>41</v>
      </c>
      <c r="AK38">
        <v>60.0154719877155</v>
      </c>
      <c r="AL38" t="s">
        <v>42</v>
      </c>
    </row>
    <row r="39" spans="1:38" x14ac:dyDescent="0.35">
      <c r="A39">
        <v>36</v>
      </c>
      <c r="B39">
        <v>0</v>
      </c>
      <c r="C39">
        <v>36</v>
      </c>
      <c r="D39">
        <v>0</v>
      </c>
      <c r="E39" t="s">
        <v>45</v>
      </c>
      <c r="F39">
        <v>1</v>
      </c>
      <c r="G39">
        <v>1.3155403000018799</v>
      </c>
      <c r="H39" t="s">
        <v>44</v>
      </c>
      <c r="I39">
        <v>36</v>
      </c>
      <c r="J39">
        <v>0</v>
      </c>
      <c r="K39">
        <v>36</v>
      </c>
      <c r="L39">
        <v>0</v>
      </c>
      <c r="M39">
        <v>69.273848199998596</v>
      </c>
      <c r="R39">
        <v>69.261776399998695</v>
      </c>
      <c r="S39">
        <v>69.273848199998596</v>
      </c>
      <c r="T39">
        <v>70.274233000000095</v>
      </c>
      <c r="U39">
        <v>70.274233000000095</v>
      </c>
      <c r="V39">
        <v>71.594246799999297</v>
      </c>
      <c r="W39">
        <v>0</v>
      </c>
      <c r="X39" t="s">
        <v>45</v>
      </c>
      <c r="Y39">
        <v>1</v>
      </c>
      <c r="Z39">
        <v>1.3155403000018799</v>
      </c>
      <c r="AA39" t="s">
        <v>44</v>
      </c>
      <c r="AF39" t="s">
        <v>38</v>
      </c>
      <c r="AG39">
        <v>1</v>
      </c>
      <c r="AH39" t="s">
        <v>39</v>
      </c>
      <c r="AI39" t="s">
        <v>40</v>
      </c>
      <c r="AJ39" t="s">
        <v>41</v>
      </c>
      <c r="AK39">
        <v>60.0154719877155</v>
      </c>
      <c r="AL39" t="s">
        <v>42</v>
      </c>
    </row>
    <row r="40" spans="1:38" x14ac:dyDescent="0.35">
      <c r="A40">
        <v>37</v>
      </c>
      <c r="B40">
        <v>0</v>
      </c>
      <c r="C40">
        <v>37</v>
      </c>
      <c r="D40">
        <v>0</v>
      </c>
      <c r="E40" t="s">
        <v>43</v>
      </c>
      <c r="F40">
        <v>0</v>
      </c>
      <c r="G40">
        <v>0.86698520000209101</v>
      </c>
      <c r="H40" t="s">
        <v>44</v>
      </c>
      <c r="I40">
        <v>37</v>
      </c>
      <c r="J40">
        <v>0</v>
      </c>
      <c r="K40">
        <v>37</v>
      </c>
      <c r="L40">
        <v>0</v>
      </c>
      <c r="M40">
        <v>71.606970900000306</v>
      </c>
      <c r="R40">
        <v>71.594816699998702</v>
      </c>
      <c r="S40">
        <v>71.606970900000306</v>
      </c>
      <c r="T40">
        <v>72.607102899997699</v>
      </c>
      <c r="U40">
        <v>72.607102899997699</v>
      </c>
      <c r="V40">
        <v>73.477361199998995</v>
      </c>
      <c r="W40">
        <v>0</v>
      </c>
      <c r="X40" t="s">
        <v>43</v>
      </c>
      <c r="Y40">
        <v>0</v>
      </c>
      <c r="Z40">
        <v>0.86698520000209101</v>
      </c>
      <c r="AA40" t="s">
        <v>44</v>
      </c>
      <c r="AF40" t="s">
        <v>38</v>
      </c>
      <c r="AG40">
        <v>1</v>
      </c>
      <c r="AH40" t="s">
        <v>39</v>
      </c>
      <c r="AI40" t="s">
        <v>40</v>
      </c>
      <c r="AJ40" t="s">
        <v>41</v>
      </c>
      <c r="AK40">
        <v>60.0154719877155</v>
      </c>
      <c r="AL40" t="s">
        <v>42</v>
      </c>
    </row>
    <row r="41" spans="1:38" x14ac:dyDescent="0.35">
      <c r="A41">
        <v>38</v>
      </c>
      <c r="B41">
        <v>0</v>
      </c>
      <c r="C41">
        <v>38</v>
      </c>
      <c r="D41">
        <v>-2</v>
      </c>
      <c r="E41" t="s">
        <v>43</v>
      </c>
      <c r="F41">
        <v>1</v>
      </c>
      <c r="G41">
        <v>0.75289520000296695</v>
      </c>
      <c r="H41" t="s">
        <v>44</v>
      </c>
      <c r="I41">
        <v>38</v>
      </c>
      <c r="J41">
        <v>0</v>
      </c>
      <c r="K41">
        <v>38</v>
      </c>
      <c r="L41">
        <v>0</v>
      </c>
      <c r="M41">
        <v>73.490310299999607</v>
      </c>
      <c r="R41">
        <v>73.477832799999305</v>
      </c>
      <c r="S41">
        <v>73.490310299999607</v>
      </c>
      <c r="T41">
        <v>74.490810799998101</v>
      </c>
      <c r="U41">
        <v>74.490810799998101</v>
      </c>
      <c r="V41">
        <v>75.258412099999902</v>
      </c>
      <c r="W41">
        <v>-2</v>
      </c>
      <c r="X41" t="s">
        <v>43</v>
      </c>
      <c r="Y41">
        <v>1</v>
      </c>
      <c r="Z41">
        <v>0.75289520000296695</v>
      </c>
      <c r="AA41" t="s">
        <v>44</v>
      </c>
      <c r="AF41" t="s">
        <v>38</v>
      </c>
      <c r="AG41">
        <v>1</v>
      </c>
      <c r="AH41" t="s">
        <v>39</v>
      </c>
      <c r="AI41" t="s">
        <v>40</v>
      </c>
      <c r="AJ41" t="s">
        <v>41</v>
      </c>
      <c r="AK41">
        <v>60.0154719877155</v>
      </c>
      <c r="AL41" t="s">
        <v>42</v>
      </c>
    </row>
    <row r="42" spans="1:38" x14ac:dyDescent="0.35">
      <c r="A42">
        <v>39</v>
      </c>
      <c r="B42">
        <v>0</v>
      </c>
      <c r="C42">
        <v>39</v>
      </c>
      <c r="D42">
        <v>2</v>
      </c>
      <c r="E42" t="s">
        <v>45</v>
      </c>
      <c r="F42">
        <v>0</v>
      </c>
      <c r="G42">
        <v>0.92926179999994896</v>
      </c>
      <c r="H42" t="s">
        <v>44</v>
      </c>
      <c r="I42">
        <v>39</v>
      </c>
      <c r="J42">
        <v>0</v>
      </c>
      <c r="K42">
        <v>39</v>
      </c>
      <c r="L42">
        <v>0</v>
      </c>
      <c r="M42">
        <v>75.273728500000203</v>
      </c>
      <c r="R42">
        <v>75.258814199998596</v>
      </c>
      <c r="S42">
        <v>75.273728500000203</v>
      </c>
      <c r="T42">
        <v>76.273810399998098</v>
      </c>
      <c r="U42">
        <v>76.273810399998098</v>
      </c>
      <c r="V42">
        <v>77.208975599998595</v>
      </c>
      <c r="W42">
        <v>2</v>
      </c>
      <c r="X42" t="s">
        <v>45</v>
      </c>
      <c r="Y42">
        <v>0</v>
      </c>
      <c r="Z42">
        <v>0.92926179999994896</v>
      </c>
      <c r="AA42" t="s">
        <v>44</v>
      </c>
      <c r="AF42" t="s">
        <v>38</v>
      </c>
      <c r="AG42">
        <v>1</v>
      </c>
      <c r="AH42" t="s">
        <v>39</v>
      </c>
      <c r="AI42" t="s">
        <v>40</v>
      </c>
      <c r="AJ42" t="s">
        <v>41</v>
      </c>
      <c r="AK42">
        <v>60.0154719877155</v>
      </c>
      <c r="AL42" t="s">
        <v>42</v>
      </c>
    </row>
    <row r="43" spans="1:38" x14ac:dyDescent="0.35">
      <c r="A43">
        <v>40</v>
      </c>
      <c r="B43">
        <v>0</v>
      </c>
      <c r="C43">
        <v>40</v>
      </c>
      <c r="D43">
        <v>-5</v>
      </c>
      <c r="E43" t="s">
        <v>43</v>
      </c>
      <c r="F43">
        <v>1</v>
      </c>
      <c r="G43">
        <v>1.0996774999985</v>
      </c>
      <c r="H43" t="s">
        <v>44</v>
      </c>
      <c r="I43">
        <v>40</v>
      </c>
      <c r="J43">
        <v>0</v>
      </c>
      <c r="K43">
        <v>40</v>
      </c>
      <c r="L43">
        <v>0</v>
      </c>
      <c r="M43">
        <v>77.223538300000598</v>
      </c>
      <c r="R43">
        <v>77.209554000000907</v>
      </c>
      <c r="S43">
        <v>77.223538300000598</v>
      </c>
      <c r="T43">
        <v>78.223984699998198</v>
      </c>
      <c r="U43">
        <v>78.223984699998198</v>
      </c>
      <c r="V43">
        <v>79.326071200000996</v>
      </c>
      <c r="W43">
        <v>-5</v>
      </c>
      <c r="X43" t="s">
        <v>43</v>
      </c>
      <c r="Y43">
        <v>1</v>
      </c>
      <c r="Z43">
        <v>1.0996774999985</v>
      </c>
      <c r="AA43" t="s">
        <v>44</v>
      </c>
      <c r="AF43" t="s">
        <v>38</v>
      </c>
      <c r="AG43">
        <v>1</v>
      </c>
      <c r="AH43" t="s">
        <v>39</v>
      </c>
      <c r="AI43" t="s">
        <v>40</v>
      </c>
      <c r="AJ43" t="s">
        <v>41</v>
      </c>
      <c r="AK43">
        <v>60.0154719877155</v>
      </c>
      <c r="AL43" t="s">
        <v>42</v>
      </c>
    </row>
    <row r="44" spans="1:38" x14ac:dyDescent="0.35">
      <c r="A44">
        <v>41</v>
      </c>
      <c r="B44">
        <v>0</v>
      </c>
      <c r="C44">
        <v>41</v>
      </c>
      <c r="D44">
        <v>0</v>
      </c>
      <c r="E44" t="s">
        <v>45</v>
      </c>
      <c r="F44">
        <v>1</v>
      </c>
      <c r="G44">
        <v>1.1086734000018601</v>
      </c>
      <c r="H44" t="s">
        <v>44</v>
      </c>
      <c r="I44">
        <v>41</v>
      </c>
      <c r="J44">
        <v>0</v>
      </c>
      <c r="K44">
        <v>41</v>
      </c>
      <c r="L44">
        <v>0</v>
      </c>
      <c r="M44">
        <v>79.340457800000806</v>
      </c>
      <c r="R44">
        <v>79.326433300000602</v>
      </c>
      <c r="S44">
        <v>79.340457800000806</v>
      </c>
      <c r="T44">
        <v>80.340755599998303</v>
      </c>
      <c r="U44">
        <v>80.340755599998303</v>
      </c>
      <c r="V44">
        <v>81.458675199999504</v>
      </c>
      <c r="W44">
        <v>0</v>
      </c>
      <c r="X44" t="s">
        <v>45</v>
      </c>
      <c r="Y44">
        <v>1</v>
      </c>
      <c r="Z44">
        <v>1.1086734000018601</v>
      </c>
      <c r="AA44" t="s">
        <v>44</v>
      </c>
      <c r="AF44" t="s">
        <v>38</v>
      </c>
      <c r="AG44">
        <v>1</v>
      </c>
      <c r="AH44" t="s">
        <v>39</v>
      </c>
      <c r="AI44" t="s">
        <v>40</v>
      </c>
      <c r="AJ44" t="s">
        <v>41</v>
      </c>
      <c r="AK44">
        <v>60.0154719877155</v>
      </c>
      <c r="AL44" t="s">
        <v>42</v>
      </c>
    </row>
    <row r="45" spans="1:38" x14ac:dyDescent="0.35">
      <c r="A45">
        <v>42</v>
      </c>
      <c r="B45">
        <v>0</v>
      </c>
      <c r="C45">
        <v>42</v>
      </c>
      <c r="D45">
        <v>0</v>
      </c>
      <c r="E45" t="s">
        <v>43</v>
      </c>
      <c r="F45">
        <v>0</v>
      </c>
      <c r="G45">
        <v>1.0721903000012301</v>
      </c>
      <c r="H45" t="s">
        <v>44</v>
      </c>
      <c r="I45">
        <v>42</v>
      </c>
      <c r="J45">
        <v>0</v>
      </c>
      <c r="K45">
        <v>42</v>
      </c>
      <c r="L45">
        <v>0</v>
      </c>
      <c r="M45">
        <v>81.473620299999297</v>
      </c>
      <c r="R45">
        <v>81.459044299997899</v>
      </c>
      <c r="S45">
        <v>81.473620299999297</v>
      </c>
      <c r="T45">
        <v>82.473482699999295</v>
      </c>
      <c r="U45">
        <v>82.473482699999295</v>
      </c>
      <c r="V45">
        <v>83.558773299999302</v>
      </c>
      <c r="W45">
        <v>0</v>
      </c>
      <c r="X45" t="s">
        <v>43</v>
      </c>
      <c r="Y45">
        <v>0</v>
      </c>
      <c r="Z45">
        <v>1.0721903000012301</v>
      </c>
      <c r="AA45" t="s">
        <v>44</v>
      </c>
      <c r="AF45" t="s">
        <v>38</v>
      </c>
      <c r="AG45">
        <v>1</v>
      </c>
      <c r="AH45" t="s">
        <v>39</v>
      </c>
      <c r="AI45" t="s">
        <v>40</v>
      </c>
      <c r="AJ45" t="s">
        <v>41</v>
      </c>
      <c r="AK45">
        <v>60.0154719877155</v>
      </c>
      <c r="AL45" t="s">
        <v>42</v>
      </c>
    </row>
    <row r="46" spans="1:38" x14ac:dyDescent="0.35">
      <c r="A46">
        <v>43</v>
      </c>
      <c r="B46">
        <v>0</v>
      </c>
      <c r="C46">
        <v>43</v>
      </c>
      <c r="D46">
        <v>0</v>
      </c>
      <c r="E46" t="s">
        <v>45</v>
      </c>
      <c r="F46">
        <v>1</v>
      </c>
      <c r="G46">
        <v>0.998876800000289</v>
      </c>
      <c r="H46" t="s">
        <v>44</v>
      </c>
      <c r="I46">
        <v>43</v>
      </c>
      <c r="J46">
        <v>0</v>
      </c>
      <c r="K46">
        <v>43</v>
      </c>
      <c r="L46">
        <v>0</v>
      </c>
      <c r="M46">
        <v>83.574119199998606</v>
      </c>
      <c r="R46">
        <v>83.559134299997794</v>
      </c>
      <c r="S46">
        <v>83.574119199998606</v>
      </c>
      <c r="T46">
        <v>84.573383099999702</v>
      </c>
      <c r="U46">
        <v>84.573383099999702</v>
      </c>
      <c r="V46">
        <v>85.575914299999496</v>
      </c>
      <c r="W46">
        <v>0</v>
      </c>
      <c r="X46" t="s">
        <v>45</v>
      </c>
      <c r="Y46">
        <v>1</v>
      </c>
      <c r="Z46">
        <v>0.998876800000289</v>
      </c>
      <c r="AA46" t="s">
        <v>44</v>
      </c>
      <c r="AF46" t="s">
        <v>38</v>
      </c>
      <c r="AG46">
        <v>1</v>
      </c>
      <c r="AH46" t="s">
        <v>39</v>
      </c>
      <c r="AI46" t="s">
        <v>40</v>
      </c>
      <c r="AJ46" t="s">
        <v>41</v>
      </c>
      <c r="AK46">
        <v>60.0154719877155</v>
      </c>
      <c r="AL46" t="s">
        <v>42</v>
      </c>
    </row>
    <row r="47" spans="1:38" x14ac:dyDescent="0.35">
      <c r="A47">
        <v>44</v>
      </c>
      <c r="B47">
        <v>0</v>
      </c>
      <c r="C47">
        <v>44</v>
      </c>
      <c r="D47">
        <v>-3</v>
      </c>
      <c r="E47" t="s">
        <v>43</v>
      </c>
      <c r="F47">
        <v>1</v>
      </c>
      <c r="G47">
        <v>0.75900589999946499</v>
      </c>
      <c r="H47" t="s">
        <v>44</v>
      </c>
      <c r="I47">
        <v>44</v>
      </c>
      <c r="J47">
        <v>0</v>
      </c>
      <c r="K47">
        <v>44</v>
      </c>
      <c r="L47">
        <v>0</v>
      </c>
      <c r="M47">
        <v>85.591227000000799</v>
      </c>
      <c r="R47">
        <v>85.576544600000403</v>
      </c>
      <c r="S47">
        <v>85.591227000000799</v>
      </c>
      <c r="T47">
        <v>86.591047499998197</v>
      </c>
      <c r="U47">
        <v>86.6069291999992</v>
      </c>
      <c r="V47">
        <v>87.358584199999299</v>
      </c>
      <c r="W47">
        <v>-3</v>
      </c>
      <c r="X47" t="s">
        <v>43</v>
      </c>
      <c r="Y47">
        <v>1</v>
      </c>
      <c r="Z47">
        <v>0.75900589999946499</v>
      </c>
      <c r="AA47" t="s">
        <v>44</v>
      </c>
      <c r="AF47" t="s">
        <v>38</v>
      </c>
      <c r="AG47">
        <v>1</v>
      </c>
      <c r="AH47" t="s">
        <v>39</v>
      </c>
      <c r="AI47" t="s">
        <v>40</v>
      </c>
      <c r="AJ47" t="s">
        <v>41</v>
      </c>
      <c r="AK47">
        <v>60.0154719877155</v>
      </c>
      <c r="AL47" t="s">
        <v>42</v>
      </c>
    </row>
    <row r="48" spans="1:38" x14ac:dyDescent="0.35">
      <c r="A48">
        <v>45</v>
      </c>
      <c r="B48">
        <v>0</v>
      </c>
      <c r="C48">
        <v>45</v>
      </c>
      <c r="D48">
        <v>-4</v>
      </c>
      <c r="E48" t="s">
        <v>43</v>
      </c>
      <c r="F48">
        <v>1</v>
      </c>
      <c r="G48">
        <v>0.96020940000016697</v>
      </c>
      <c r="H48" t="s">
        <v>44</v>
      </c>
      <c r="I48">
        <v>45</v>
      </c>
      <c r="J48">
        <v>0</v>
      </c>
      <c r="K48">
        <v>45</v>
      </c>
      <c r="L48">
        <v>0</v>
      </c>
      <c r="M48">
        <v>87.373438200000194</v>
      </c>
      <c r="R48">
        <v>87.359083799998103</v>
      </c>
      <c r="S48">
        <v>87.373438200000194</v>
      </c>
      <c r="T48">
        <v>88.373731499999806</v>
      </c>
      <c r="U48">
        <v>88.373731499999806</v>
      </c>
      <c r="V48">
        <v>89.342840499997607</v>
      </c>
      <c r="W48">
        <v>-4</v>
      </c>
      <c r="X48" t="s">
        <v>43</v>
      </c>
      <c r="Y48">
        <v>1</v>
      </c>
      <c r="Z48">
        <v>0.96020940000016697</v>
      </c>
      <c r="AA48" t="s">
        <v>44</v>
      </c>
      <c r="AF48" t="s">
        <v>38</v>
      </c>
      <c r="AG48">
        <v>1</v>
      </c>
      <c r="AH48" t="s">
        <v>39</v>
      </c>
      <c r="AI48" t="s">
        <v>40</v>
      </c>
      <c r="AJ48" t="s">
        <v>41</v>
      </c>
      <c r="AK48">
        <v>60.0154719877155</v>
      </c>
      <c r="AL48" t="s">
        <v>42</v>
      </c>
    </row>
    <row r="49" spans="1:38" x14ac:dyDescent="0.35">
      <c r="A49">
        <v>46</v>
      </c>
      <c r="B49">
        <v>0</v>
      </c>
      <c r="C49">
        <v>46</v>
      </c>
      <c r="D49">
        <v>0</v>
      </c>
      <c r="E49" t="s">
        <v>45</v>
      </c>
      <c r="F49">
        <v>1</v>
      </c>
      <c r="G49">
        <v>0.74847109999973305</v>
      </c>
      <c r="H49" t="s">
        <v>44</v>
      </c>
      <c r="I49">
        <v>46</v>
      </c>
      <c r="J49">
        <v>0</v>
      </c>
      <c r="K49">
        <v>46</v>
      </c>
      <c r="L49">
        <v>0</v>
      </c>
      <c r="M49">
        <v>89.356927500000893</v>
      </c>
      <c r="R49">
        <v>89.343325499998102</v>
      </c>
      <c r="S49">
        <v>89.356927500000893</v>
      </c>
      <c r="T49">
        <v>90.3566430999999</v>
      </c>
      <c r="U49">
        <v>90.3566430999999</v>
      </c>
      <c r="V49">
        <v>91.108772600000506</v>
      </c>
      <c r="W49">
        <v>0</v>
      </c>
      <c r="X49" t="s">
        <v>45</v>
      </c>
      <c r="Y49">
        <v>1</v>
      </c>
      <c r="Z49">
        <v>0.74847109999973305</v>
      </c>
      <c r="AA49" t="s">
        <v>44</v>
      </c>
      <c r="AF49" t="s">
        <v>38</v>
      </c>
      <c r="AG49">
        <v>1</v>
      </c>
      <c r="AH49" t="s">
        <v>39</v>
      </c>
      <c r="AI49" t="s">
        <v>40</v>
      </c>
      <c r="AJ49" t="s">
        <v>41</v>
      </c>
      <c r="AK49">
        <v>60.0154719877155</v>
      </c>
      <c r="AL49" t="s">
        <v>42</v>
      </c>
    </row>
    <row r="50" spans="1:38" x14ac:dyDescent="0.35">
      <c r="A50">
        <v>47</v>
      </c>
      <c r="B50">
        <v>0</v>
      </c>
      <c r="C50">
        <v>47</v>
      </c>
      <c r="D50">
        <v>-3</v>
      </c>
      <c r="E50" t="s">
        <v>43</v>
      </c>
      <c r="F50">
        <v>1</v>
      </c>
      <c r="G50">
        <v>0.70599349999974903</v>
      </c>
      <c r="H50" t="s">
        <v>44</v>
      </c>
      <c r="I50">
        <v>47</v>
      </c>
      <c r="J50">
        <v>0</v>
      </c>
      <c r="K50">
        <v>47</v>
      </c>
      <c r="L50">
        <v>0</v>
      </c>
      <c r="M50">
        <v>91.123111799999606</v>
      </c>
      <c r="R50">
        <v>91.109308099999893</v>
      </c>
      <c r="S50">
        <v>91.123111799999606</v>
      </c>
      <c r="T50">
        <v>92.123769599998894</v>
      </c>
      <c r="U50">
        <v>92.123769599998894</v>
      </c>
      <c r="V50">
        <v>92.842489200000202</v>
      </c>
      <c r="W50">
        <v>-3</v>
      </c>
      <c r="X50" t="s">
        <v>43</v>
      </c>
      <c r="Y50">
        <v>1</v>
      </c>
      <c r="Z50">
        <v>0.70599349999974903</v>
      </c>
      <c r="AA50" t="s">
        <v>44</v>
      </c>
      <c r="AF50" t="s">
        <v>38</v>
      </c>
      <c r="AG50">
        <v>1</v>
      </c>
      <c r="AH50" t="s">
        <v>39</v>
      </c>
      <c r="AI50" t="s">
        <v>40</v>
      </c>
      <c r="AJ50" t="s">
        <v>41</v>
      </c>
      <c r="AK50">
        <v>60.0154719877155</v>
      </c>
      <c r="AL50" t="s">
        <v>42</v>
      </c>
    </row>
    <row r="51" spans="1:38" x14ac:dyDescent="0.35">
      <c r="A51">
        <v>48</v>
      </c>
      <c r="B51">
        <v>0</v>
      </c>
      <c r="C51">
        <v>48</v>
      </c>
      <c r="D51">
        <v>-4</v>
      </c>
      <c r="E51" t="s">
        <v>43</v>
      </c>
      <c r="F51">
        <v>1</v>
      </c>
      <c r="G51">
        <v>0.72586049999881597</v>
      </c>
      <c r="H51" t="s">
        <v>44</v>
      </c>
      <c r="I51">
        <v>48</v>
      </c>
      <c r="J51">
        <v>0</v>
      </c>
      <c r="K51">
        <v>48</v>
      </c>
      <c r="L51">
        <v>0</v>
      </c>
      <c r="M51">
        <v>92.856718599999994</v>
      </c>
      <c r="R51">
        <v>92.8430937999983</v>
      </c>
      <c r="S51">
        <v>92.856718599999994</v>
      </c>
      <c r="T51">
        <v>93.8566950999993</v>
      </c>
      <c r="U51">
        <v>93.8566950999993</v>
      </c>
      <c r="V51">
        <v>94.591652099999905</v>
      </c>
      <c r="W51">
        <v>-4</v>
      </c>
      <c r="X51" t="s">
        <v>43</v>
      </c>
      <c r="Y51">
        <v>1</v>
      </c>
      <c r="Z51">
        <v>0.72586049999881597</v>
      </c>
      <c r="AA51" t="s">
        <v>44</v>
      </c>
      <c r="AF51" t="s">
        <v>38</v>
      </c>
      <c r="AG51">
        <v>1</v>
      </c>
      <c r="AH51" t="s">
        <v>39</v>
      </c>
      <c r="AI51" t="s">
        <v>40</v>
      </c>
      <c r="AJ51" t="s">
        <v>41</v>
      </c>
      <c r="AK51">
        <v>60.0154719877155</v>
      </c>
      <c r="AL51" t="s">
        <v>42</v>
      </c>
    </row>
    <row r="52" spans="1:38" x14ac:dyDescent="0.35">
      <c r="A52">
        <v>49</v>
      </c>
      <c r="B52">
        <v>0</v>
      </c>
      <c r="C52">
        <v>49</v>
      </c>
      <c r="D52">
        <v>3</v>
      </c>
      <c r="E52" t="s">
        <v>45</v>
      </c>
      <c r="F52">
        <v>0</v>
      </c>
      <c r="G52">
        <v>2.4119524000016099</v>
      </c>
      <c r="H52" t="s">
        <v>44</v>
      </c>
      <c r="I52">
        <v>49</v>
      </c>
      <c r="J52">
        <v>0</v>
      </c>
      <c r="K52">
        <v>49</v>
      </c>
      <c r="L52">
        <v>0</v>
      </c>
      <c r="M52">
        <v>94.6068209000004</v>
      </c>
      <c r="R52">
        <v>94.592108099997802</v>
      </c>
      <c r="S52">
        <v>94.6068209000004</v>
      </c>
      <c r="T52">
        <v>95.606736099998599</v>
      </c>
      <c r="U52">
        <v>95.606736099998599</v>
      </c>
      <c r="V52">
        <v>98.025612999997904</v>
      </c>
      <c r="W52">
        <v>3</v>
      </c>
      <c r="X52" t="s">
        <v>45</v>
      </c>
      <c r="Y52">
        <v>0</v>
      </c>
      <c r="Z52">
        <v>2.4119524000016099</v>
      </c>
      <c r="AA52" t="s">
        <v>44</v>
      </c>
      <c r="AF52" t="s">
        <v>38</v>
      </c>
      <c r="AG52">
        <v>1</v>
      </c>
      <c r="AH52" t="s">
        <v>39</v>
      </c>
      <c r="AI52" t="s">
        <v>40</v>
      </c>
      <c r="AJ52" t="s">
        <v>41</v>
      </c>
      <c r="AK52">
        <v>60.0154719877155</v>
      </c>
      <c r="AL52" t="s">
        <v>42</v>
      </c>
    </row>
    <row r="53" spans="1:38" x14ac:dyDescent="0.35">
      <c r="A53">
        <v>50</v>
      </c>
      <c r="B53">
        <v>0</v>
      </c>
      <c r="C53">
        <v>50</v>
      </c>
      <c r="D53">
        <v>0</v>
      </c>
      <c r="E53" t="s">
        <v>43</v>
      </c>
      <c r="F53">
        <v>0</v>
      </c>
      <c r="G53">
        <v>0.65481870000076003</v>
      </c>
      <c r="H53" t="s">
        <v>44</v>
      </c>
      <c r="I53">
        <v>50</v>
      </c>
      <c r="J53">
        <v>0</v>
      </c>
      <c r="K53">
        <v>50</v>
      </c>
      <c r="L53">
        <v>0</v>
      </c>
      <c r="M53">
        <v>98.040338599999799</v>
      </c>
      <c r="R53">
        <v>98.0261583999999</v>
      </c>
      <c r="S53">
        <v>98.040338599999799</v>
      </c>
      <c r="T53">
        <v>99.040343299999194</v>
      </c>
      <c r="U53">
        <v>99.040343299999194</v>
      </c>
      <c r="V53">
        <v>99.709535599999001</v>
      </c>
      <c r="W53">
        <v>0</v>
      </c>
      <c r="X53" t="s">
        <v>43</v>
      </c>
      <c r="Y53">
        <v>0</v>
      </c>
      <c r="Z53">
        <v>0.65481870000076003</v>
      </c>
      <c r="AA53" t="s">
        <v>44</v>
      </c>
      <c r="AF53" t="s">
        <v>38</v>
      </c>
      <c r="AG53">
        <v>1</v>
      </c>
      <c r="AH53" t="s">
        <v>39</v>
      </c>
      <c r="AI53" t="s">
        <v>40</v>
      </c>
      <c r="AJ53" t="s">
        <v>41</v>
      </c>
      <c r="AK53">
        <v>60.0154719877155</v>
      </c>
      <c r="AL53" t="s">
        <v>42</v>
      </c>
    </row>
    <row r="54" spans="1:38" x14ac:dyDescent="0.35">
      <c r="A54">
        <v>51</v>
      </c>
      <c r="B54">
        <v>0</v>
      </c>
      <c r="C54">
        <v>51</v>
      </c>
      <c r="D54">
        <v>0</v>
      </c>
      <c r="E54" t="s">
        <v>43</v>
      </c>
      <c r="F54">
        <v>0</v>
      </c>
      <c r="G54">
        <v>0.68516489999819896</v>
      </c>
      <c r="H54" t="s">
        <v>44</v>
      </c>
      <c r="I54">
        <v>51</v>
      </c>
      <c r="J54">
        <v>0</v>
      </c>
      <c r="K54">
        <v>51</v>
      </c>
      <c r="L54">
        <v>0</v>
      </c>
      <c r="M54">
        <v>99.723440300000206</v>
      </c>
      <c r="R54">
        <v>99.710091000000801</v>
      </c>
      <c r="S54">
        <v>99.723440300000206</v>
      </c>
      <c r="T54">
        <v>100.7236405</v>
      </c>
      <c r="U54">
        <v>100.7236405</v>
      </c>
      <c r="V54">
        <v>101.426069199998</v>
      </c>
      <c r="W54">
        <v>0</v>
      </c>
      <c r="X54" t="s">
        <v>43</v>
      </c>
      <c r="Y54">
        <v>0</v>
      </c>
      <c r="Z54">
        <v>0.68516489999819896</v>
      </c>
      <c r="AA54" t="s">
        <v>44</v>
      </c>
      <c r="AF54" t="s">
        <v>38</v>
      </c>
      <c r="AG54">
        <v>1</v>
      </c>
      <c r="AH54" t="s">
        <v>39</v>
      </c>
      <c r="AI54" t="s">
        <v>40</v>
      </c>
      <c r="AJ54" t="s">
        <v>41</v>
      </c>
      <c r="AK54">
        <v>60.0154719877155</v>
      </c>
      <c r="AL54" t="s">
        <v>42</v>
      </c>
    </row>
    <row r="55" spans="1:38" x14ac:dyDescent="0.35">
      <c r="A55">
        <v>52</v>
      </c>
      <c r="B55">
        <v>0</v>
      </c>
      <c r="C55">
        <v>52</v>
      </c>
      <c r="D55">
        <v>0</v>
      </c>
      <c r="E55" t="s">
        <v>43</v>
      </c>
      <c r="F55">
        <v>0</v>
      </c>
      <c r="G55">
        <v>0.79421260000162797</v>
      </c>
      <c r="H55" t="s">
        <v>44</v>
      </c>
      <c r="I55">
        <v>52</v>
      </c>
      <c r="J55">
        <v>0</v>
      </c>
      <c r="K55">
        <v>52</v>
      </c>
      <c r="L55">
        <v>0</v>
      </c>
      <c r="M55">
        <v>101.440015199998</v>
      </c>
      <c r="R55">
        <v>101.426591399998</v>
      </c>
      <c r="S55">
        <v>101.440015199998</v>
      </c>
      <c r="T55">
        <v>102.440074999998</v>
      </c>
      <c r="U55">
        <v>102.440074999998</v>
      </c>
      <c r="V55">
        <v>103.24247370000001</v>
      </c>
      <c r="W55">
        <v>0</v>
      </c>
      <c r="X55" t="s">
        <v>43</v>
      </c>
      <c r="Y55">
        <v>0</v>
      </c>
      <c r="Z55">
        <v>0.79421260000162797</v>
      </c>
      <c r="AA55" t="s">
        <v>44</v>
      </c>
      <c r="AF55" t="s">
        <v>38</v>
      </c>
      <c r="AG55">
        <v>1</v>
      </c>
      <c r="AH55" t="s">
        <v>39</v>
      </c>
      <c r="AI55" t="s">
        <v>40</v>
      </c>
      <c r="AJ55" t="s">
        <v>41</v>
      </c>
      <c r="AK55">
        <v>60.0154719877155</v>
      </c>
      <c r="AL55" t="s">
        <v>42</v>
      </c>
    </row>
    <row r="56" spans="1:38" x14ac:dyDescent="0.35">
      <c r="A56">
        <v>53</v>
      </c>
      <c r="B56">
        <v>0</v>
      </c>
      <c r="C56">
        <v>53</v>
      </c>
      <c r="D56">
        <v>0</v>
      </c>
      <c r="E56" t="s">
        <v>43</v>
      </c>
      <c r="F56">
        <v>0</v>
      </c>
      <c r="G56">
        <v>0.591691800000262</v>
      </c>
      <c r="H56" t="s">
        <v>44</v>
      </c>
      <c r="I56">
        <v>53</v>
      </c>
      <c r="J56">
        <v>0</v>
      </c>
      <c r="K56">
        <v>53</v>
      </c>
      <c r="L56">
        <v>0</v>
      </c>
      <c r="M56">
        <v>103.256559099998</v>
      </c>
      <c r="R56">
        <v>103.242957099999</v>
      </c>
      <c r="S56">
        <v>103.256559099998</v>
      </c>
      <c r="T56">
        <v>104.256843099999</v>
      </c>
      <c r="U56">
        <v>104.256843099999</v>
      </c>
      <c r="V56">
        <v>104.86029859999999</v>
      </c>
      <c r="W56">
        <v>0</v>
      </c>
      <c r="X56" t="s">
        <v>43</v>
      </c>
      <c r="Y56">
        <v>0</v>
      </c>
      <c r="Z56">
        <v>0.591691800000262</v>
      </c>
      <c r="AA56" t="s">
        <v>44</v>
      </c>
      <c r="AF56" t="s">
        <v>38</v>
      </c>
      <c r="AG56">
        <v>1</v>
      </c>
      <c r="AH56" t="s">
        <v>39</v>
      </c>
      <c r="AI56" t="s">
        <v>40</v>
      </c>
      <c r="AJ56" t="s">
        <v>41</v>
      </c>
      <c r="AK56">
        <v>60.0154719877155</v>
      </c>
      <c r="AL56" t="s">
        <v>42</v>
      </c>
    </row>
    <row r="57" spans="1:38" x14ac:dyDescent="0.35">
      <c r="A57">
        <v>54</v>
      </c>
      <c r="B57">
        <v>0</v>
      </c>
      <c r="C57">
        <v>54</v>
      </c>
      <c r="D57">
        <v>0</v>
      </c>
      <c r="E57" t="s">
        <v>43</v>
      </c>
      <c r="F57">
        <v>0</v>
      </c>
      <c r="G57">
        <v>0.77351800000178605</v>
      </c>
      <c r="H57" t="s">
        <v>44</v>
      </c>
      <c r="I57">
        <v>54</v>
      </c>
      <c r="J57">
        <v>0</v>
      </c>
      <c r="K57">
        <v>54</v>
      </c>
      <c r="L57">
        <v>0</v>
      </c>
      <c r="M57">
        <v>104.873832599998</v>
      </c>
      <c r="R57">
        <v>104.8608509</v>
      </c>
      <c r="S57">
        <v>104.873832599998</v>
      </c>
      <c r="T57">
        <v>105.87334259999901</v>
      </c>
      <c r="U57">
        <v>105.87334259999901</v>
      </c>
      <c r="V57">
        <v>106.659581899999</v>
      </c>
      <c r="W57">
        <v>0</v>
      </c>
      <c r="X57" t="s">
        <v>43</v>
      </c>
      <c r="Y57">
        <v>0</v>
      </c>
      <c r="Z57">
        <v>0.77351800000178605</v>
      </c>
      <c r="AA57" t="s">
        <v>44</v>
      </c>
      <c r="AF57" t="s">
        <v>38</v>
      </c>
      <c r="AG57">
        <v>1</v>
      </c>
      <c r="AH57" t="s">
        <v>39</v>
      </c>
      <c r="AI57" t="s">
        <v>40</v>
      </c>
      <c r="AJ57" t="s">
        <v>41</v>
      </c>
      <c r="AK57">
        <v>60.0154719877155</v>
      </c>
      <c r="AL57" t="s">
        <v>42</v>
      </c>
    </row>
    <row r="58" spans="1:38" x14ac:dyDescent="0.35">
      <c r="A58">
        <v>55</v>
      </c>
      <c r="B58">
        <v>0</v>
      </c>
      <c r="C58">
        <v>55</v>
      </c>
      <c r="D58">
        <v>-5</v>
      </c>
      <c r="E58" t="s">
        <v>43</v>
      </c>
      <c r="F58">
        <v>1</v>
      </c>
      <c r="G58">
        <v>0.95172119999915505</v>
      </c>
      <c r="H58" t="s">
        <v>44</v>
      </c>
      <c r="I58">
        <v>55</v>
      </c>
      <c r="J58">
        <v>0</v>
      </c>
      <c r="K58">
        <v>55</v>
      </c>
      <c r="L58">
        <v>0</v>
      </c>
      <c r="M58">
        <v>106.673298900001</v>
      </c>
      <c r="R58">
        <v>106.660176599998</v>
      </c>
      <c r="S58">
        <v>106.673298900001</v>
      </c>
      <c r="T58">
        <v>107.673365099999</v>
      </c>
      <c r="U58">
        <v>107.673365099999</v>
      </c>
      <c r="V58">
        <v>108.641936899999</v>
      </c>
      <c r="W58">
        <v>-5</v>
      </c>
      <c r="X58" t="s">
        <v>43</v>
      </c>
      <c r="Y58">
        <v>1</v>
      </c>
      <c r="Z58">
        <v>0.95172119999915505</v>
      </c>
      <c r="AA58" t="s">
        <v>44</v>
      </c>
      <c r="AF58" t="s">
        <v>38</v>
      </c>
      <c r="AG58">
        <v>1</v>
      </c>
      <c r="AH58" t="s">
        <v>39</v>
      </c>
      <c r="AI58" t="s">
        <v>40</v>
      </c>
      <c r="AJ58" t="s">
        <v>41</v>
      </c>
      <c r="AK58">
        <v>60.0154719877155</v>
      </c>
      <c r="AL58" t="s">
        <v>42</v>
      </c>
    </row>
    <row r="59" spans="1:38" x14ac:dyDescent="0.35">
      <c r="A59">
        <v>56</v>
      </c>
      <c r="B59">
        <v>0</v>
      </c>
      <c r="C59">
        <v>56</v>
      </c>
      <c r="D59">
        <v>-3</v>
      </c>
      <c r="E59" t="s">
        <v>43</v>
      </c>
      <c r="F59">
        <v>1</v>
      </c>
      <c r="G59">
        <v>0.56029350000244404</v>
      </c>
      <c r="H59" t="s">
        <v>44</v>
      </c>
      <c r="I59">
        <v>56</v>
      </c>
      <c r="J59">
        <v>0</v>
      </c>
      <c r="K59">
        <v>56</v>
      </c>
      <c r="L59">
        <v>0</v>
      </c>
      <c r="M59">
        <v>108.6564297</v>
      </c>
      <c r="R59">
        <v>108.642568399998</v>
      </c>
      <c r="S59">
        <v>108.6564297</v>
      </c>
      <c r="T59">
        <v>109.656913399998</v>
      </c>
      <c r="U59">
        <v>109.656913399998</v>
      </c>
      <c r="V59">
        <v>110.22523440000001</v>
      </c>
      <c r="W59">
        <v>-3</v>
      </c>
      <c r="X59" t="s">
        <v>43</v>
      </c>
      <c r="Y59">
        <v>1</v>
      </c>
      <c r="Z59">
        <v>0.56029350000244404</v>
      </c>
      <c r="AA59" t="s">
        <v>44</v>
      </c>
      <c r="AF59" t="s">
        <v>38</v>
      </c>
      <c r="AG59">
        <v>1</v>
      </c>
      <c r="AH59" t="s">
        <v>39</v>
      </c>
      <c r="AI59" t="s">
        <v>40</v>
      </c>
      <c r="AJ59" t="s">
        <v>41</v>
      </c>
      <c r="AK59">
        <v>60.0154719877155</v>
      </c>
      <c r="AL59" t="s">
        <v>42</v>
      </c>
    </row>
    <row r="60" spans="1:38" x14ac:dyDescent="0.35">
      <c r="A60">
        <v>57</v>
      </c>
      <c r="B60">
        <v>0</v>
      </c>
      <c r="C60">
        <v>57</v>
      </c>
      <c r="D60">
        <v>0</v>
      </c>
      <c r="E60" t="s">
        <v>43</v>
      </c>
      <c r="F60">
        <v>0</v>
      </c>
      <c r="G60">
        <v>0.81978859999799103</v>
      </c>
      <c r="H60" t="s">
        <v>44</v>
      </c>
      <c r="I60">
        <v>57</v>
      </c>
      <c r="J60">
        <v>0</v>
      </c>
      <c r="K60">
        <v>57</v>
      </c>
      <c r="L60">
        <v>0</v>
      </c>
      <c r="M60">
        <v>110.2402483</v>
      </c>
      <c r="R60">
        <v>110.225669399998</v>
      </c>
      <c r="S60">
        <v>110.2402483</v>
      </c>
      <c r="T60">
        <v>111.24011650000099</v>
      </c>
      <c r="U60">
        <v>111.24011650000099</v>
      </c>
      <c r="V60">
        <v>112.075972499998</v>
      </c>
      <c r="W60">
        <v>0</v>
      </c>
      <c r="X60" t="s">
        <v>43</v>
      </c>
      <c r="Y60">
        <v>0</v>
      </c>
      <c r="Z60">
        <v>0.81978859999799103</v>
      </c>
      <c r="AA60" t="s">
        <v>44</v>
      </c>
      <c r="AF60" t="s">
        <v>38</v>
      </c>
      <c r="AG60">
        <v>1</v>
      </c>
      <c r="AH60" t="s">
        <v>39</v>
      </c>
      <c r="AI60" t="s">
        <v>40</v>
      </c>
      <c r="AJ60" t="s">
        <v>41</v>
      </c>
      <c r="AK60">
        <v>60.0154719877155</v>
      </c>
      <c r="AL60" t="s">
        <v>42</v>
      </c>
    </row>
    <row r="61" spans="1:38" x14ac:dyDescent="0.35">
      <c r="A61">
        <v>58</v>
      </c>
      <c r="B61">
        <v>0</v>
      </c>
      <c r="C61">
        <v>58</v>
      </c>
      <c r="D61">
        <v>0</v>
      </c>
      <c r="E61" t="s">
        <v>45</v>
      </c>
      <c r="F61">
        <v>1</v>
      </c>
      <c r="G61">
        <v>0.46680019999985201</v>
      </c>
      <c r="H61" t="s">
        <v>44</v>
      </c>
      <c r="I61">
        <v>58</v>
      </c>
      <c r="J61">
        <v>0</v>
      </c>
      <c r="K61">
        <v>58</v>
      </c>
      <c r="L61">
        <v>0</v>
      </c>
      <c r="M61">
        <v>112.090111599998</v>
      </c>
      <c r="R61">
        <v>112.076507099998</v>
      </c>
      <c r="S61">
        <v>112.090111599998</v>
      </c>
      <c r="T61">
        <v>113.089805799998</v>
      </c>
      <c r="U61">
        <v>113.089805799998</v>
      </c>
      <c r="V61">
        <v>113.55973659999999</v>
      </c>
      <c r="W61">
        <v>0</v>
      </c>
      <c r="X61" t="s">
        <v>45</v>
      </c>
      <c r="Y61">
        <v>1</v>
      </c>
      <c r="Z61">
        <v>0.46680019999985201</v>
      </c>
      <c r="AA61" t="s">
        <v>44</v>
      </c>
      <c r="AF61" t="s">
        <v>38</v>
      </c>
      <c r="AG61">
        <v>1</v>
      </c>
      <c r="AH61" t="s">
        <v>39</v>
      </c>
      <c r="AI61" t="s">
        <v>40</v>
      </c>
      <c r="AJ61" t="s">
        <v>41</v>
      </c>
      <c r="AK61">
        <v>60.0154719877155</v>
      </c>
      <c r="AL61" t="s">
        <v>42</v>
      </c>
    </row>
    <row r="62" spans="1:38" x14ac:dyDescent="0.35">
      <c r="A62">
        <v>59</v>
      </c>
      <c r="B62">
        <v>0</v>
      </c>
      <c r="C62">
        <v>59</v>
      </c>
      <c r="D62">
        <v>-3</v>
      </c>
      <c r="E62" t="s">
        <v>43</v>
      </c>
      <c r="F62">
        <v>1</v>
      </c>
      <c r="G62">
        <v>0.515530900000158</v>
      </c>
      <c r="H62" t="s">
        <v>44</v>
      </c>
      <c r="I62">
        <v>59</v>
      </c>
      <c r="J62">
        <v>0</v>
      </c>
      <c r="K62">
        <v>59</v>
      </c>
      <c r="L62">
        <v>0</v>
      </c>
      <c r="M62">
        <v>113.572966799998</v>
      </c>
      <c r="R62">
        <v>113.560275399999</v>
      </c>
      <c r="S62">
        <v>113.572966799998</v>
      </c>
      <c r="T62">
        <v>114.573105399998</v>
      </c>
      <c r="U62">
        <v>114.573105399998</v>
      </c>
      <c r="V62">
        <v>115.092641399998</v>
      </c>
      <c r="W62">
        <v>-3</v>
      </c>
      <c r="X62" t="s">
        <v>43</v>
      </c>
      <c r="Y62">
        <v>1</v>
      </c>
      <c r="Z62">
        <v>0.515530900000158</v>
      </c>
      <c r="AA62" t="s">
        <v>44</v>
      </c>
      <c r="AF62" t="s">
        <v>38</v>
      </c>
      <c r="AG62">
        <v>1</v>
      </c>
      <c r="AH62" t="s">
        <v>39</v>
      </c>
      <c r="AI62" t="s">
        <v>40</v>
      </c>
      <c r="AJ62" t="s">
        <v>41</v>
      </c>
      <c r="AK62">
        <v>60.0154719877155</v>
      </c>
      <c r="AL62" t="s">
        <v>42</v>
      </c>
    </row>
    <row r="63" spans="1:38" x14ac:dyDescent="0.35">
      <c r="A63">
        <v>60</v>
      </c>
      <c r="B63">
        <v>0</v>
      </c>
      <c r="C63">
        <v>60</v>
      </c>
      <c r="D63">
        <v>-2</v>
      </c>
      <c r="E63" t="s">
        <v>43</v>
      </c>
      <c r="F63">
        <v>1</v>
      </c>
      <c r="G63">
        <v>0.57686990000001903</v>
      </c>
      <c r="H63" t="s">
        <v>44</v>
      </c>
      <c r="I63">
        <v>60</v>
      </c>
      <c r="J63">
        <v>0</v>
      </c>
      <c r="K63">
        <v>60</v>
      </c>
      <c r="L63">
        <v>0</v>
      </c>
      <c r="M63">
        <v>115.10698749999899</v>
      </c>
      <c r="R63">
        <v>115.093125899999</v>
      </c>
      <c r="S63">
        <v>115.10698749999899</v>
      </c>
      <c r="T63">
        <v>116.106701</v>
      </c>
      <c r="U63">
        <v>116.106701</v>
      </c>
      <c r="V63">
        <v>116.69176069999899</v>
      </c>
      <c r="W63">
        <v>-2</v>
      </c>
      <c r="X63" t="s">
        <v>43</v>
      </c>
      <c r="Y63">
        <v>1</v>
      </c>
      <c r="Z63">
        <v>0.57686990000001903</v>
      </c>
      <c r="AA63" t="s">
        <v>44</v>
      </c>
      <c r="AF63" t="s">
        <v>38</v>
      </c>
      <c r="AG63">
        <v>1</v>
      </c>
      <c r="AH63" t="s">
        <v>39</v>
      </c>
      <c r="AI63" t="s">
        <v>40</v>
      </c>
      <c r="AJ63" t="s">
        <v>41</v>
      </c>
      <c r="AK63">
        <v>60.0154719877155</v>
      </c>
      <c r="AL63" t="s">
        <v>42</v>
      </c>
    </row>
    <row r="64" spans="1:38" x14ac:dyDescent="0.35">
      <c r="A64">
        <v>61</v>
      </c>
      <c r="B64">
        <v>0</v>
      </c>
      <c r="C64">
        <v>61</v>
      </c>
      <c r="D64">
        <v>4</v>
      </c>
      <c r="E64" t="s">
        <v>43</v>
      </c>
      <c r="F64">
        <v>1</v>
      </c>
      <c r="G64">
        <v>0.55502550000164697</v>
      </c>
      <c r="H64" t="s">
        <v>44</v>
      </c>
      <c r="I64">
        <v>61</v>
      </c>
      <c r="J64">
        <v>0</v>
      </c>
      <c r="K64">
        <v>61</v>
      </c>
      <c r="L64">
        <v>0</v>
      </c>
      <c r="M64">
        <v>116.7065946</v>
      </c>
      <c r="R64">
        <v>116.692258399998</v>
      </c>
      <c r="S64">
        <v>116.7065946</v>
      </c>
      <c r="T64">
        <v>117.70678719999999</v>
      </c>
      <c r="U64">
        <v>117.70678719999999</v>
      </c>
      <c r="V64">
        <v>118.275869199998</v>
      </c>
      <c r="W64">
        <v>4</v>
      </c>
      <c r="X64" t="s">
        <v>43</v>
      </c>
      <c r="Y64">
        <v>1</v>
      </c>
      <c r="Z64">
        <v>0.55502550000164697</v>
      </c>
      <c r="AA64" t="s">
        <v>44</v>
      </c>
      <c r="AF64" t="s">
        <v>38</v>
      </c>
      <c r="AG64">
        <v>1</v>
      </c>
      <c r="AH64" t="s">
        <v>39</v>
      </c>
      <c r="AI64" t="s">
        <v>40</v>
      </c>
      <c r="AJ64" t="s">
        <v>41</v>
      </c>
      <c r="AK64">
        <v>60.0154719877155</v>
      </c>
      <c r="AL64" t="s">
        <v>42</v>
      </c>
    </row>
    <row r="65" spans="1:38" x14ac:dyDescent="0.35">
      <c r="A65">
        <v>62</v>
      </c>
      <c r="B65">
        <v>0</v>
      </c>
      <c r="C65">
        <v>62</v>
      </c>
      <c r="D65">
        <v>-2</v>
      </c>
      <c r="E65" t="s">
        <v>43</v>
      </c>
      <c r="F65">
        <v>1</v>
      </c>
      <c r="G65">
        <v>0.51055609999821105</v>
      </c>
      <c r="H65" t="s">
        <v>44</v>
      </c>
      <c r="I65">
        <v>62</v>
      </c>
      <c r="J65">
        <v>0</v>
      </c>
      <c r="K65">
        <v>62</v>
      </c>
      <c r="L65">
        <v>0</v>
      </c>
      <c r="M65">
        <v>118.289517199998</v>
      </c>
      <c r="R65">
        <v>118.276782199998</v>
      </c>
      <c r="S65">
        <v>118.289517199998</v>
      </c>
      <c r="T65">
        <v>119.289854799997</v>
      </c>
      <c r="U65">
        <v>119.289854799997</v>
      </c>
      <c r="V65">
        <v>119.80833809999901</v>
      </c>
      <c r="W65">
        <v>-2</v>
      </c>
      <c r="X65" t="s">
        <v>43</v>
      </c>
      <c r="Y65">
        <v>1</v>
      </c>
      <c r="Z65">
        <v>0.51055609999821105</v>
      </c>
      <c r="AA65" t="s">
        <v>44</v>
      </c>
      <c r="AF65" t="s">
        <v>38</v>
      </c>
      <c r="AG65">
        <v>1</v>
      </c>
      <c r="AH65" t="s">
        <v>39</v>
      </c>
      <c r="AI65" t="s">
        <v>40</v>
      </c>
      <c r="AJ65" t="s">
        <v>41</v>
      </c>
      <c r="AK65">
        <v>60.0154719877155</v>
      </c>
      <c r="AL65" t="s">
        <v>42</v>
      </c>
    </row>
    <row r="66" spans="1:38" x14ac:dyDescent="0.35">
      <c r="A66">
        <v>63</v>
      </c>
      <c r="B66">
        <v>0</v>
      </c>
      <c r="C66">
        <v>63</v>
      </c>
      <c r="D66">
        <v>3</v>
      </c>
      <c r="E66" t="s">
        <v>43</v>
      </c>
      <c r="F66">
        <v>1</v>
      </c>
      <c r="G66">
        <v>0.60099219999756304</v>
      </c>
      <c r="H66" t="s">
        <v>44</v>
      </c>
      <c r="I66">
        <v>63</v>
      </c>
      <c r="J66">
        <v>0</v>
      </c>
      <c r="K66">
        <v>63</v>
      </c>
      <c r="L66">
        <v>0</v>
      </c>
      <c r="M66">
        <v>119.822845899998</v>
      </c>
      <c r="R66">
        <v>119.8089149</v>
      </c>
      <c r="S66">
        <v>119.822845899998</v>
      </c>
      <c r="T66">
        <v>120.823225399999</v>
      </c>
      <c r="U66">
        <v>120.823225399999</v>
      </c>
      <c r="V66">
        <v>121.427774699997</v>
      </c>
      <c r="W66">
        <v>3</v>
      </c>
      <c r="X66" t="s">
        <v>43</v>
      </c>
      <c r="Y66">
        <v>1</v>
      </c>
      <c r="Z66">
        <v>0.60099219999756304</v>
      </c>
      <c r="AA66" t="s">
        <v>44</v>
      </c>
      <c r="AF66" t="s">
        <v>38</v>
      </c>
      <c r="AG66">
        <v>1</v>
      </c>
      <c r="AH66" t="s">
        <v>39</v>
      </c>
      <c r="AI66" t="s">
        <v>40</v>
      </c>
      <c r="AJ66" t="s">
        <v>41</v>
      </c>
      <c r="AK66">
        <v>60.0154719877155</v>
      </c>
      <c r="AL66" t="s">
        <v>42</v>
      </c>
    </row>
    <row r="67" spans="1:38" x14ac:dyDescent="0.35">
      <c r="A67">
        <v>64</v>
      </c>
      <c r="B67">
        <v>0</v>
      </c>
      <c r="C67">
        <v>64</v>
      </c>
      <c r="D67">
        <v>0</v>
      </c>
      <c r="E67" t="s">
        <v>45</v>
      </c>
      <c r="F67">
        <v>1</v>
      </c>
      <c r="G67">
        <v>0.72242759999789996</v>
      </c>
      <c r="H67" t="s">
        <v>44</v>
      </c>
      <c r="I67">
        <v>64</v>
      </c>
      <c r="J67">
        <v>0</v>
      </c>
      <c r="K67">
        <v>64</v>
      </c>
      <c r="L67">
        <v>0</v>
      </c>
      <c r="M67">
        <v>121.43939829999999</v>
      </c>
      <c r="R67">
        <v>121.428516899999</v>
      </c>
      <c r="S67">
        <v>121.43939829999999</v>
      </c>
      <c r="T67">
        <v>122.439803599998</v>
      </c>
      <c r="U67">
        <v>122.439803599998</v>
      </c>
      <c r="V67">
        <v>123.175957699997</v>
      </c>
      <c r="W67">
        <v>0</v>
      </c>
      <c r="X67" t="s">
        <v>45</v>
      </c>
      <c r="Y67">
        <v>1</v>
      </c>
      <c r="Z67">
        <v>0.72242759999789996</v>
      </c>
      <c r="AA67" t="s">
        <v>44</v>
      </c>
      <c r="AF67" t="s">
        <v>38</v>
      </c>
      <c r="AG67">
        <v>1</v>
      </c>
      <c r="AH67" t="s">
        <v>39</v>
      </c>
      <c r="AI67" t="s">
        <v>40</v>
      </c>
      <c r="AJ67" t="s">
        <v>41</v>
      </c>
      <c r="AK67">
        <v>60.0154719877155</v>
      </c>
      <c r="AL67" t="s">
        <v>42</v>
      </c>
    </row>
    <row r="68" spans="1:38" x14ac:dyDescent="0.35">
      <c r="A68">
        <v>65</v>
      </c>
      <c r="B68">
        <v>0</v>
      </c>
      <c r="C68">
        <v>65</v>
      </c>
      <c r="D68">
        <v>0</v>
      </c>
      <c r="E68" t="s">
        <v>45</v>
      </c>
      <c r="F68">
        <v>1</v>
      </c>
      <c r="G68">
        <v>0.71685599999909699</v>
      </c>
      <c r="H68" t="s">
        <v>44</v>
      </c>
      <c r="I68">
        <v>65</v>
      </c>
      <c r="J68">
        <v>0</v>
      </c>
      <c r="K68">
        <v>65</v>
      </c>
      <c r="L68">
        <v>0</v>
      </c>
      <c r="M68">
        <v>123.1895554</v>
      </c>
      <c r="R68">
        <v>123.176590099999</v>
      </c>
      <c r="S68">
        <v>123.1895554</v>
      </c>
      <c r="T68">
        <v>124.1898096</v>
      </c>
      <c r="U68">
        <v>124.1898096</v>
      </c>
      <c r="V68">
        <v>124.908832999997</v>
      </c>
      <c r="W68">
        <v>0</v>
      </c>
      <c r="X68" t="s">
        <v>45</v>
      </c>
      <c r="Y68">
        <v>1</v>
      </c>
      <c r="Z68">
        <v>0.71685599999909699</v>
      </c>
      <c r="AA68" t="s">
        <v>44</v>
      </c>
      <c r="AF68" t="s">
        <v>38</v>
      </c>
      <c r="AG68">
        <v>1</v>
      </c>
      <c r="AH68" t="s">
        <v>39</v>
      </c>
      <c r="AI68" t="s">
        <v>40</v>
      </c>
      <c r="AJ68" t="s">
        <v>41</v>
      </c>
      <c r="AK68">
        <v>60.0154719877155</v>
      </c>
      <c r="AL68" t="s">
        <v>42</v>
      </c>
    </row>
    <row r="69" spans="1:38" x14ac:dyDescent="0.35">
      <c r="A69">
        <v>66</v>
      </c>
      <c r="B69">
        <v>0</v>
      </c>
      <c r="C69">
        <v>66</v>
      </c>
      <c r="D69">
        <v>-4</v>
      </c>
      <c r="E69" t="s">
        <v>43</v>
      </c>
      <c r="F69">
        <v>1</v>
      </c>
      <c r="G69">
        <v>0.44153799999912702</v>
      </c>
      <c r="H69" t="s">
        <v>44</v>
      </c>
      <c r="I69">
        <v>66</v>
      </c>
      <c r="J69">
        <v>0</v>
      </c>
      <c r="K69">
        <v>66</v>
      </c>
      <c r="L69">
        <v>0</v>
      </c>
      <c r="M69">
        <v>124.922790099997</v>
      </c>
      <c r="R69">
        <v>124.909365299998</v>
      </c>
      <c r="S69">
        <v>124.922790099997</v>
      </c>
      <c r="T69">
        <v>125.923241</v>
      </c>
      <c r="U69">
        <v>125.923241</v>
      </c>
      <c r="V69">
        <v>126.375167199999</v>
      </c>
      <c r="W69">
        <v>-4</v>
      </c>
      <c r="X69" t="s">
        <v>43</v>
      </c>
      <c r="Y69">
        <v>1</v>
      </c>
      <c r="Z69">
        <v>0.44153799999912702</v>
      </c>
      <c r="AA69" t="s">
        <v>44</v>
      </c>
      <c r="AF69" t="s">
        <v>38</v>
      </c>
      <c r="AG69">
        <v>1</v>
      </c>
      <c r="AH69" t="s">
        <v>39</v>
      </c>
      <c r="AI69" t="s">
        <v>40</v>
      </c>
      <c r="AJ69" t="s">
        <v>41</v>
      </c>
      <c r="AK69">
        <v>60.0154719877155</v>
      </c>
      <c r="AL69" t="s">
        <v>42</v>
      </c>
    </row>
    <row r="70" spans="1:38" x14ac:dyDescent="0.35">
      <c r="A70">
        <v>67</v>
      </c>
      <c r="B70">
        <v>0</v>
      </c>
      <c r="C70">
        <v>67</v>
      </c>
      <c r="D70">
        <v>0</v>
      </c>
      <c r="E70" t="s">
        <v>43</v>
      </c>
      <c r="F70">
        <v>0</v>
      </c>
      <c r="G70">
        <v>0.50523289999910004</v>
      </c>
      <c r="H70" t="s">
        <v>44</v>
      </c>
      <c r="I70">
        <v>67</v>
      </c>
      <c r="J70">
        <v>0</v>
      </c>
      <c r="K70">
        <v>67</v>
      </c>
      <c r="L70">
        <v>0</v>
      </c>
      <c r="M70">
        <v>126.3897097</v>
      </c>
      <c r="R70">
        <v>126.37560979999699</v>
      </c>
      <c r="S70">
        <v>126.3897097</v>
      </c>
      <c r="T70">
        <v>127.389296499997</v>
      </c>
      <c r="U70">
        <v>127.389296499997</v>
      </c>
      <c r="V70">
        <v>127.9106637</v>
      </c>
      <c r="W70">
        <v>0</v>
      </c>
      <c r="X70" t="s">
        <v>43</v>
      </c>
      <c r="Y70">
        <v>0</v>
      </c>
      <c r="Z70">
        <v>0.50523289999910004</v>
      </c>
      <c r="AA70" t="s">
        <v>44</v>
      </c>
      <c r="AF70" t="s">
        <v>38</v>
      </c>
      <c r="AG70">
        <v>1</v>
      </c>
      <c r="AH70" t="s">
        <v>39</v>
      </c>
      <c r="AI70" t="s">
        <v>40</v>
      </c>
      <c r="AJ70" t="s">
        <v>41</v>
      </c>
      <c r="AK70">
        <v>60.0154719877155</v>
      </c>
      <c r="AL70" t="s">
        <v>42</v>
      </c>
    </row>
    <row r="71" spans="1:38" x14ac:dyDescent="0.35">
      <c r="A71">
        <v>68</v>
      </c>
      <c r="B71">
        <v>0</v>
      </c>
      <c r="C71">
        <v>68</v>
      </c>
      <c r="D71">
        <v>-5</v>
      </c>
      <c r="E71" t="s">
        <v>43</v>
      </c>
      <c r="F71">
        <v>1</v>
      </c>
      <c r="G71">
        <v>0.60848479999913196</v>
      </c>
      <c r="H71" t="s">
        <v>44</v>
      </c>
      <c r="I71">
        <v>68</v>
      </c>
      <c r="J71">
        <v>0</v>
      </c>
      <c r="K71">
        <v>68</v>
      </c>
      <c r="L71">
        <v>0</v>
      </c>
      <c r="M71">
        <v>127.922905399998</v>
      </c>
      <c r="R71">
        <v>127.911794499999</v>
      </c>
      <c r="S71">
        <v>127.922905399998</v>
      </c>
      <c r="T71">
        <v>128.92301019999999</v>
      </c>
      <c r="U71">
        <v>128.92301019999999</v>
      </c>
      <c r="V71">
        <v>129.54153089999801</v>
      </c>
      <c r="W71">
        <v>-5</v>
      </c>
      <c r="X71" t="s">
        <v>43</v>
      </c>
      <c r="Y71">
        <v>1</v>
      </c>
      <c r="Z71">
        <v>0.60848479999913196</v>
      </c>
      <c r="AA71" t="s">
        <v>44</v>
      </c>
      <c r="AF71" t="s">
        <v>38</v>
      </c>
      <c r="AG71">
        <v>1</v>
      </c>
      <c r="AH71" t="s">
        <v>39</v>
      </c>
      <c r="AI71" t="s">
        <v>40</v>
      </c>
      <c r="AJ71" t="s">
        <v>41</v>
      </c>
      <c r="AK71">
        <v>60.0154719877155</v>
      </c>
      <c r="AL71" t="s">
        <v>42</v>
      </c>
    </row>
    <row r="72" spans="1:38" x14ac:dyDescent="0.35">
      <c r="A72">
        <v>69</v>
      </c>
      <c r="B72">
        <v>0</v>
      </c>
      <c r="C72">
        <v>69</v>
      </c>
      <c r="D72">
        <v>2</v>
      </c>
      <c r="E72" t="s">
        <v>43</v>
      </c>
      <c r="F72">
        <v>1</v>
      </c>
      <c r="G72">
        <v>0.70691920000172104</v>
      </c>
      <c r="H72" t="s">
        <v>44</v>
      </c>
      <c r="I72">
        <v>69</v>
      </c>
      <c r="J72">
        <v>0</v>
      </c>
      <c r="K72">
        <v>69</v>
      </c>
      <c r="L72">
        <v>0</v>
      </c>
      <c r="M72">
        <v>129.55622299999899</v>
      </c>
      <c r="R72">
        <v>129.54199890000001</v>
      </c>
      <c r="S72">
        <v>129.55622299999899</v>
      </c>
      <c r="T72">
        <v>130.55624890000001</v>
      </c>
      <c r="U72">
        <v>130.55624890000001</v>
      </c>
      <c r="V72">
        <v>131.2753553</v>
      </c>
      <c r="W72">
        <v>2</v>
      </c>
      <c r="X72" t="s">
        <v>43</v>
      </c>
      <c r="Y72">
        <v>1</v>
      </c>
      <c r="Z72">
        <v>0.70691920000172104</v>
      </c>
      <c r="AA72" t="s">
        <v>44</v>
      </c>
      <c r="AF72" t="s">
        <v>38</v>
      </c>
      <c r="AG72">
        <v>1</v>
      </c>
      <c r="AH72" t="s">
        <v>39</v>
      </c>
      <c r="AI72" t="s">
        <v>40</v>
      </c>
      <c r="AJ72" t="s">
        <v>41</v>
      </c>
      <c r="AK72">
        <v>60.0154719877155</v>
      </c>
      <c r="AL72" t="s">
        <v>42</v>
      </c>
    </row>
    <row r="73" spans="1:38" x14ac:dyDescent="0.35">
      <c r="A73">
        <v>70</v>
      </c>
      <c r="B73">
        <v>0</v>
      </c>
      <c r="C73">
        <v>70</v>
      </c>
      <c r="D73">
        <v>0</v>
      </c>
      <c r="E73" t="s">
        <v>43</v>
      </c>
      <c r="F73">
        <v>0</v>
      </c>
      <c r="G73">
        <v>0.53953869999895598</v>
      </c>
      <c r="H73" t="s">
        <v>44</v>
      </c>
      <c r="I73">
        <v>70</v>
      </c>
      <c r="J73">
        <v>0</v>
      </c>
      <c r="K73">
        <v>70</v>
      </c>
      <c r="L73">
        <v>0</v>
      </c>
      <c r="M73">
        <v>131.289443900001</v>
      </c>
      <c r="R73">
        <v>131.27582299999901</v>
      </c>
      <c r="S73">
        <v>131.289443900001</v>
      </c>
      <c r="T73">
        <v>132.28938879999899</v>
      </c>
      <c r="U73">
        <v>132.28938879999899</v>
      </c>
      <c r="V73">
        <v>132.84082699999999</v>
      </c>
      <c r="W73">
        <v>0</v>
      </c>
      <c r="X73" t="s">
        <v>43</v>
      </c>
      <c r="Y73">
        <v>0</v>
      </c>
      <c r="Z73">
        <v>0.53953869999895598</v>
      </c>
      <c r="AA73" t="s">
        <v>44</v>
      </c>
      <c r="AF73" t="s">
        <v>38</v>
      </c>
      <c r="AG73">
        <v>1</v>
      </c>
      <c r="AH73" t="s">
        <v>39</v>
      </c>
      <c r="AI73" t="s">
        <v>40</v>
      </c>
      <c r="AJ73" t="s">
        <v>41</v>
      </c>
      <c r="AK73">
        <v>60.0154719877155</v>
      </c>
      <c r="AL73" t="s">
        <v>42</v>
      </c>
    </row>
    <row r="74" spans="1:38" x14ac:dyDescent="0.35">
      <c r="A74">
        <v>71</v>
      </c>
      <c r="B74">
        <v>0</v>
      </c>
      <c r="C74">
        <v>71</v>
      </c>
      <c r="D74">
        <v>-3</v>
      </c>
      <c r="E74" t="s">
        <v>43</v>
      </c>
      <c r="F74">
        <v>1</v>
      </c>
      <c r="G74">
        <v>0.58988780000072405</v>
      </c>
      <c r="H74" t="s">
        <v>44</v>
      </c>
      <c r="I74">
        <v>71</v>
      </c>
      <c r="J74">
        <v>0</v>
      </c>
      <c r="K74">
        <v>71</v>
      </c>
      <c r="L74">
        <v>0</v>
      </c>
      <c r="M74">
        <v>132.85608969999799</v>
      </c>
      <c r="R74">
        <v>132.841222899998</v>
      </c>
      <c r="S74">
        <v>132.85608969999799</v>
      </c>
      <c r="T74">
        <v>133.85606069999901</v>
      </c>
      <c r="U74">
        <v>133.85606069999901</v>
      </c>
      <c r="V74">
        <v>134.45944929999999</v>
      </c>
      <c r="W74">
        <v>-3</v>
      </c>
      <c r="X74" t="s">
        <v>43</v>
      </c>
      <c r="Y74">
        <v>1</v>
      </c>
      <c r="Z74">
        <v>0.58988780000072405</v>
      </c>
      <c r="AA74" t="s">
        <v>44</v>
      </c>
      <c r="AF74" t="s">
        <v>38</v>
      </c>
      <c r="AG74">
        <v>1</v>
      </c>
      <c r="AH74" t="s">
        <v>39</v>
      </c>
      <c r="AI74" t="s">
        <v>40</v>
      </c>
      <c r="AJ74" t="s">
        <v>41</v>
      </c>
      <c r="AK74">
        <v>60.0154719877155</v>
      </c>
      <c r="AL74" t="s">
        <v>42</v>
      </c>
    </row>
    <row r="75" spans="1:38" x14ac:dyDescent="0.35">
      <c r="A75">
        <v>72</v>
      </c>
      <c r="B75">
        <v>0</v>
      </c>
      <c r="C75">
        <v>72</v>
      </c>
      <c r="D75">
        <v>2</v>
      </c>
      <c r="E75" t="s">
        <v>43</v>
      </c>
      <c r="F75">
        <v>1</v>
      </c>
      <c r="G75">
        <v>0.62391310000020805</v>
      </c>
      <c r="H75" t="s">
        <v>44</v>
      </c>
      <c r="I75">
        <v>72</v>
      </c>
      <c r="J75">
        <v>0</v>
      </c>
      <c r="K75">
        <v>72</v>
      </c>
      <c r="L75">
        <v>0</v>
      </c>
      <c r="M75">
        <v>134.472705899999</v>
      </c>
      <c r="R75">
        <v>134.46004949999701</v>
      </c>
      <c r="S75">
        <v>134.472705899999</v>
      </c>
      <c r="T75">
        <v>135.472525799999</v>
      </c>
      <c r="U75">
        <v>135.472525799999</v>
      </c>
      <c r="V75">
        <v>136.10829279999899</v>
      </c>
      <c r="W75">
        <v>2</v>
      </c>
      <c r="X75" t="s">
        <v>43</v>
      </c>
      <c r="Y75">
        <v>1</v>
      </c>
      <c r="Z75">
        <v>0.62391310000020805</v>
      </c>
      <c r="AA75" t="s">
        <v>44</v>
      </c>
      <c r="AF75" t="s">
        <v>38</v>
      </c>
      <c r="AG75">
        <v>1</v>
      </c>
      <c r="AH75" t="s">
        <v>39</v>
      </c>
      <c r="AI75" t="s">
        <v>40</v>
      </c>
      <c r="AJ75" t="s">
        <v>41</v>
      </c>
      <c r="AK75">
        <v>60.0154719877155</v>
      </c>
      <c r="AL75" t="s">
        <v>42</v>
      </c>
    </row>
    <row r="76" spans="1:38" x14ac:dyDescent="0.35">
      <c r="A76">
        <v>73</v>
      </c>
      <c r="B76">
        <v>0</v>
      </c>
      <c r="C76">
        <v>73</v>
      </c>
      <c r="D76">
        <v>4</v>
      </c>
      <c r="E76" t="s">
        <v>43</v>
      </c>
      <c r="F76">
        <v>1</v>
      </c>
      <c r="G76">
        <v>0.410469999998895</v>
      </c>
      <c r="H76" t="s">
        <v>44</v>
      </c>
      <c r="I76">
        <v>73</v>
      </c>
      <c r="J76">
        <v>0</v>
      </c>
      <c r="K76">
        <v>73</v>
      </c>
      <c r="L76">
        <v>0</v>
      </c>
      <c r="M76">
        <v>136.122530799999</v>
      </c>
      <c r="R76">
        <v>136.1087287</v>
      </c>
      <c r="S76">
        <v>136.122530799999</v>
      </c>
      <c r="T76">
        <v>137.12327769999999</v>
      </c>
      <c r="U76">
        <v>137.12327769999999</v>
      </c>
      <c r="V76">
        <v>137.54098999999701</v>
      </c>
      <c r="W76">
        <v>4</v>
      </c>
      <c r="X76" t="s">
        <v>43</v>
      </c>
      <c r="Y76">
        <v>1</v>
      </c>
      <c r="Z76">
        <v>0.410469999998895</v>
      </c>
      <c r="AA76" t="s">
        <v>44</v>
      </c>
      <c r="AF76" t="s">
        <v>38</v>
      </c>
      <c r="AG76">
        <v>1</v>
      </c>
      <c r="AH76" t="s">
        <v>39</v>
      </c>
      <c r="AI76" t="s">
        <v>40</v>
      </c>
      <c r="AJ76" t="s">
        <v>41</v>
      </c>
      <c r="AK76">
        <v>60.0154719877155</v>
      </c>
      <c r="AL76" t="s">
        <v>42</v>
      </c>
    </row>
    <row r="77" spans="1:38" x14ac:dyDescent="0.35">
      <c r="A77">
        <v>74</v>
      </c>
      <c r="B77">
        <v>0</v>
      </c>
      <c r="C77">
        <v>74</v>
      </c>
      <c r="D77">
        <v>4</v>
      </c>
      <c r="E77" t="s">
        <v>43</v>
      </c>
      <c r="F77">
        <v>1</v>
      </c>
      <c r="G77">
        <v>0.456421899998531</v>
      </c>
      <c r="H77" t="s">
        <v>44</v>
      </c>
      <c r="I77">
        <v>74</v>
      </c>
      <c r="J77">
        <v>0</v>
      </c>
      <c r="K77">
        <v>74</v>
      </c>
      <c r="L77">
        <v>0</v>
      </c>
      <c r="M77">
        <v>137.55598839999899</v>
      </c>
      <c r="R77">
        <v>137.54139869999901</v>
      </c>
      <c r="S77">
        <v>137.55598839999899</v>
      </c>
      <c r="T77">
        <v>138.55611669999701</v>
      </c>
      <c r="U77">
        <v>138.55611669999701</v>
      </c>
      <c r="V77">
        <v>139.026104</v>
      </c>
      <c r="W77">
        <v>4</v>
      </c>
      <c r="X77" t="s">
        <v>43</v>
      </c>
      <c r="Y77">
        <v>1</v>
      </c>
      <c r="Z77">
        <v>0.456421899998531</v>
      </c>
      <c r="AA77" t="s">
        <v>44</v>
      </c>
      <c r="AF77" t="s">
        <v>38</v>
      </c>
      <c r="AG77">
        <v>1</v>
      </c>
      <c r="AH77" t="s">
        <v>39</v>
      </c>
      <c r="AI77" t="s">
        <v>40</v>
      </c>
      <c r="AJ77" t="s">
        <v>41</v>
      </c>
      <c r="AK77">
        <v>60.0154719877155</v>
      </c>
      <c r="AL77" t="s">
        <v>42</v>
      </c>
    </row>
    <row r="78" spans="1:38" x14ac:dyDescent="0.35">
      <c r="A78">
        <v>75</v>
      </c>
      <c r="B78">
        <v>0</v>
      </c>
      <c r="C78">
        <v>75</v>
      </c>
      <c r="D78">
        <v>3</v>
      </c>
      <c r="E78" t="s">
        <v>43</v>
      </c>
      <c r="F78">
        <v>1</v>
      </c>
      <c r="G78">
        <v>0.47523720000026498</v>
      </c>
      <c r="H78" t="s">
        <v>44</v>
      </c>
      <c r="I78">
        <v>75</v>
      </c>
      <c r="J78">
        <v>0</v>
      </c>
      <c r="K78">
        <v>75</v>
      </c>
      <c r="L78">
        <v>0</v>
      </c>
      <c r="M78">
        <v>139.0392737</v>
      </c>
      <c r="R78">
        <v>139.02669499999999</v>
      </c>
      <c r="S78">
        <v>139.0392737</v>
      </c>
      <c r="T78">
        <v>140.03950519999799</v>
      </c>
      <c r="U78">
        <v>140.03950519999799</v>
      </c>
      <c r="V78">
        <v>140.52491920000099</v>
      </c>
      <c r="W78">
        <v>3</v>
      </c>
      <c r="X78" t="s">
        <v>43</v>
      </c>
      <c r="Y78">
        <v>1</v>
      </c>
      <c r="Z78">
        <v>0.47523720000026498</v>
      </c>
      <c r="AA78" t="s">
        <v>44</v>
      </c>
      <c r="AF78" t="s">
        <v>38</v>
      </c>
      <c r="AG78">
        <v>1</v>
      </c>
      <c r="AH78" t="s">
        <v>39</v>
      </c>
      <c r="AI78" t="s">
        <v>40</v>
      </c>
      <c r="AJ78" t="s">
        <v>41</v>
      </c>
      <c r="AK78">
        <v>60.0154719877155</v>
      </c>
      <c r="AL78" t="s">
        <v>42</v>
      </c>
    </row>
    <row r="79" spans="1:38" x14ac:dyDescent="0.35">
      <c r="A79">
        <v>76</v>
      </c>
      <c r="B79">
        <v>0</v>
      </c>
      <c r="C79">
        <v>76</v>
      </c>
      <c r="D79">
        <v>2</v>
      </c>
      <c r="E79" t="s">
        <v>43</v>
      </c>
      <c r="F79">
        <v>1</v>
      </c>
      <c r="G79">
        <v>0.49867250000170299</v>
      </c>
      <c r="H79" t="s">
        <v>44</v>
      </c>
      <c r="I79">
        <v>76</v>
      </c>
      <c r="J79">
        <v>0</v>
      </c>
      <c r="K79">
        <v>76</v>
      </c>
      <c r="L79">
        <v>0</v>
      </c>
      <c r="M79">
        <v>140.53938120000001</v>
      </c>
      <c r="R79">
        <v>140.52537569999899</v>
      </c>
      <c r="S79">
        <v>140.53938120000001</v>
      </c>
      <c r="T79">
        <v>141.539286299997</v>
      </c>
      <c r="U79">
        <v>141.539286299997</v>
      </c>
      <c r="V79">
        <v>142.042745999999</v>
      </c>
      <c r="W79">
        <v>2</v>
      </c>
      <c r="X79" t="s">
        <v>43</v>
      </c>
      <c r="Y79">
        <v>1</v>
      </c>
      <c r="Z79">
        <v>0.49867250000170299</v>
      </c>
      <c r="AA79" t="s">
        <v>44</v>
      </c>
      <c r="AF79" t="s">
        <v>38</v>
      </c>
      <c r="AG79">
        <v>1</v>
      </c>
      <c r="AH79" t="s">
        <v>39</v>
      </c>
      <c r="AI79" t="s">
        <v>40</v>
      </c>
      <c r="AJ79" t="s">
        <v>41</v>
      </c>
      <c r="AK79">
        <v>60.0154719877155</v>
      </c>
      <c r="AL79" t="s">
        <v>42</v>
      </c>
    </row>
    <row r="80" spans="1:38" x14ac:dyDescent="0.35">
      <c r="A80">
        <v>77</v>
      </c>
      <c r="B80">
        <v>0</v>
      </c>
      <c r="C80">
        <v>77</v>
      </c>
      <c r="D80">
        <v>0</v>
      </c>
      <c r="E80" t="s">
        <v>43</v>
      </c>
      <c r="F80">
        <v>0</v>
      </c>
      <c r="G80">
        <v>0.40195990000211101</v>
      </c>
      <c r="H80" t="s">
        <v>44</v>
      </c>
      <c r="I80">
        <v>77</v>
      </c>
      <c r="J80">
        <v>0</v>
      </c>
      <c r="K80">
        <v>77</v>
      </c>
      <c r="L80">
        <v>0</v>
      </c>
      <c r="M80">
        <v>142.0559398</v>
      </c>
      <c r="R80">
        <v>142.043316299997</v>
      </c>
      <c r="S80">
        <v>142.0559398</v>
      </c>
      <c r="T80">
        <v>143.05571620000001</v>
      </c>
      <c r="U80">
        <v>143.05571620000001</v>
      </c>
      <c r="V80">
        <v>143.4742478</v>
      </c>
      <c r="W80">
        <v>0</v>
      </c>
      <c r="X80" t="s">
        <v>43</v>
      </c>
      <c r="Y80">
        <v>0</v>
      </c>
      <c r="Z80">
        <v>0.40195990000211101</v>
      </c>
      <c r="AA80" t="s">
        <v>44</v>
      </c>
      <c r="AF80" t="s">
        <v>38</v>
      </c>
      <c r="AG80">
        <v>1</v>
      </c>
      <c r="AH80" t="s">
        <v>39</v>
      </c>
      <c r="AI80" t="s">
        <v>40</v>
      </c>
      <c r="AJ80" t="s">
        <v>41</v>
      </c>
      <c r="AK80">
        <v>60.0154719877155</v>
      </c>
      <c r="AL80" t="s">
        <v>42</v>
      </c>
    </row>
    <row r="81" spans="1:38" x14ac:dyDescent="0.35">
      <c r="A81">
        <v>78</v>
      </c>
      <c r="B81">
        <v>0</v>
      </c>
      <c r="C81">
        <v>78</v>
      </c>
      <c r="D81">
        <v>0</v>
      </c>
      <c r="E81" t="s">
        <v>43</v>
      </c>
      <c r="F81">
        <v>0</v>
      </c>
      <c r="G81">
        <v>0.44533439999940999</v>
      </c>
      <c r="H81" t="s">
        <v>44</v>
      </c>
      <c r="I81">
        <v>78</v>
      </c>
      <c r="J81">
        <v>0</v>
      </c>
      <c r="K81">
        <v>78</v>
      </c>
      <c r="L81">
        <v>0</v>
      </c>
      <c r="M81">
        <v>143.48894579999899</v>
      </c>
      <c r="R81">
        <v>143.47473209999899</v>
      </c>
      <c r="S81">
        <v>143.48894579999899</v>
      </c>
      <c r="T81">
        <v>144.48941689999899</v>
      </c>
      <c r="U81">
        <v>144.48941689999899</v>
      </c>
      <c r="V81">
        <v>144.94120829999801</v>
      </c>
      <c r="W81">
        <v>0</v>
      </c>
      <c r="X81" t="s">
        <v>43</v>
      </c>
      <c r="Y81">
        <v>0</v>
      </c>
      <c r="Z81">
        <v>0.44533439999940999</v>
      </c>
      <c r="AA81" t="s">
        <v>44</v>
      </c>
      <c r="AF81" t="s">
        <v>38</v>
      </c>
      <c r="AG81">
        <v>1</v>
      </c>
      <c r="AH81" t="s">
        <v>39</v>
      </c>
      <c r="AI81" t="s">
        <v>40</v>
      </c>
      <c r="AJ81" t="s">
        <v>41</v>
      </c>
      <c r="AK81">
        <v>60.0154719877155</v>
      </c>
      <c r="AL81" t="s">
        <v>42</v>
      </c>
    </row>
    <row r="82" spans="1:38" x14ac:dyDescent="0.35">
      <c r="A82">
        <v>79</v>
      </c>
      <c r="B82">
        <v>0</v>
      </c>
      <c r="C82">
        <v>79</v>
      </c>
      <c r="D82">
        <v>0</v>
      </c>
      <c r="E82" t="s">
        <v>43</v>
      </c>
      <c r="F82">
        <v>0</v>
      </c>
      <c r="G82">
        <v>0.71450199999890096</v>
      </c>
      <c r="H82" t="s">
        <v>44</v>
      </c>
      <c r="I82">
        <v>79</v>
      </c>
      <c r="J82">
        <v>0</v>
      </c>
      <c r="K82">
        <v>79</v>
      </c>
      <c r="L82">
        <v>0</v>
      </c>
      <c r="M82">
        <v>144.9557906</v>
      </c>
      <c r="R82">
        <v>144.941619000001</v>
      </c>
      <c r="S82">
        <v>144.9557906</v>
      </c>
      <c r="T82">
        <v>145.9562707</v>
      </c>
      <c r="U82">
        <v>145.9562707</v>
      </c>
      <c r="V82">
        <v>146.676061099999</v>
      </c>
      <c r="W82">
        <v>0</v>
      </c>
      <c r="X82" t="s">
        <v>43</v>
      </c>
      <c r="Y82">
        <v>0</v>
      </c>
      <c r="Z82">
        <v>0.71450199999890096</v>
      </c>
      <c r="AA82" t="s">
        <v>44</v>
      </c>
      <c r="AF82" t="s">
        <v>38</v>
      </c>
      <c r="AG82">
        <v>1</v>
      </c>
      <c r="AH82" t="s">
        <v>39</v>
      </c>
      <c r="AI82" t="s">
        <v>40</v>
      </c>
      <c r="AJ82" t="s">
        <v>41</v>
      </c>
      <c r="AK82">
        <v>60.0154719877155</v>
      </c>
      <c r="AL82" t="s">
        <v>42</v>
      </c>
    </row>
    <row r="83" spans="1:38" x14ac:dyDescent="0.35">
      <c r="A83">
        <v>80</v>
      </c>
      <c r="B83">
        <v>0</v>
      </c>
      <c r="C83">
        <v>80</v>
      </c>
      <c r="D83">
        <v>0</v>
      </c>
      <c r="E83" t="s">
        <v>43</v>
      </c>
      <c r="F83">
        <v>0</v>
      </c>
      <c r="G83">
        <v>0.90408269999898005</v>
      </c>
      <c r="H83" t="s">
        <v>44</v>
      </c>
      <c r="I83">
        <v>80</v>
      </c>
      <c r="J83">
        <v>0</v>
      </c>
      <c r="K83">
        <v>80</v>
      </c>
      <c r="L83">
        <v>0</v>
      </c>
      <c r="M83">
        <v>146.68889709999999</v>
      </c>
      <c r="R83">
        <v>146.67664209999899</v>
      </c>
      <c r="S83">
        <v>146.68889709999999</v>
      </c>
      <c r="T83">
        <v>147.690040299999</v>
      </c>
      <c r="U83">
        <v>147.690040299999</v>
      </c>
      <c r="V83">
        <v>148.60781599999899</v>
      </c>
      <c r="W83">
        <v>0</v>
      </c>
      <c r="X83" t="s">
        <v>43</v>
      </c>
      <c r="Y83">
        <v>0</v>
      </c>
      <c r="Z83">
        <v>0.90408269999898005</v>
      </c>
      <c r="AA83" t="s">
        <v>44</v>
      </c>
      <c r="AF83" t="s">
        <v>38</v>
      </c>
      <c r="AG83">
        <v>1</v>
      </c>
      <c r="AH83" t="s">
        <v>39</v>
      </c>
      <c r="AI83" t="s">
        <v>40</v>
      </c>
      <c r="AJ83" t="s">
        <v>41</v>
      </c>
      <c r="AK83">
        <v>60.0154719877155</v>
      </c>
      <c r="AL83" t="s">
        <v>42</v>
      </c>
    </row>
    <row r="84" spans="1:38" x14ac:dyDescent="0.35">
      <c r="A84">
        <v>81</v>
      </c>
      <c r="B84">
        <v>0</v>
      </c>
      <c r="C84">
        <v>81</v>
      </c>
      <c r="D84">
        <v>0</v>
      </c>
      <c r="E84" t="s">
        <v>43</v>
      </c>
      <c r="F84">
        <v>0</v>
      </c>
      <c r="G84">
        <v>0.47080569999889099</v>
      </c>
      <c r="H84" t="s">
        <v>44</v>
      </c>
      <c r="I84">
        <v>81</v>
      </c>
      <c r="J84">
        <v>0</v>
      </c>
      <c r="K84">
        <v>81</v>
      </c>
      <c r="L84">
        <v>0</v>
      </c>
      <c r="M84">
        <v>148.62241469999901</v>
      </c>
      <c r="R84">
        <v>148.608326699999</v>
      </c>
      <c r="S84">
        <v>148.62241469999901</v>
      </c>
      <c r="T84">
        <v>149.62324229999999</v>
      </c>
      <c r="U84">
        <v>149.62324229999999</v>
      </c>
      <c r="V84">
        <v>150.10880649999999</v>
      </c>
      <c r="W84">
        <v>0</v>
      </c>
      <c r="X84" t="s">
        <v>43</v>
      </c>
      <c r="Y84">
        <v>0</v>
      </c>
      <c r="Z84">
        <v>0.47080569999889099</v>
      </c>
      <c r="AA84" t="s">
        <v>44</v>
      </c>
      <c r="AF84" t="s">
        <v>38</v>
      </c>
      <c r="AG84">
        <v>1</v>
      </c>
      <c r="AH84" t="s">
        <v>39</v>
      </c>
      <c r="AI84" t="s">
        <v>40</v>
      </c>
      <c r="AJ84" t="s">
        <v>41</v>
      </c>
      <c r="AK84">
        <v>60.0154719877155</v>
      </c>
      <c r="AL84" t="s">
        <v>42</v>
      </c>
    </row>
    <row r="85" spans="1:38" x14ac:dyDescent="0.35">
      <c r="A85">
        <v>82</v>
      </c>
      <c r="B85">
        <v>0</v>
      </c>
      <c r="C85">
        <v>82</v>
      </c>
      <c r="D85">
        <v>0</v>
      </c>
      <c r="E85" t="s">
        <v>45</v>
      </c>
      <c r="F85">
        <v>1</v>
      </c>
      <c r="G85">
        <v>0.71478500000011902</v>
      </c>
      <c r="H85" t="s">
        <v>44</v>
      </c>
      <c r="I85">
        <v>82</v>
      </c>
      <c r="J85">
        <v>0</v>
      </c>
      <c r="K85">
        <v>82</v>
      </c>
      <c r="L85">
        <v>0</v>
      </c>
      <c r="M85">
        <v>150.122395399997</v>
      </c>
      <c r="R85">
        <v>150.10938329999701</v>
      </c>
      <c r="S85">
        <v>150.122395399997</v>
      </c>
      <c r="T85">
        <v>151.122158899997</v>
      </c>
      <c r="U85">
        <v>151.122158899997</v>
      </c>
      <c r="V85">
        <v>151.84209479999799</v>
      </c>
      <c r="W85">
        <v>0</v>
      </c>
      <c r="X85" t="s">
        <v>45</v>
      </c>
      <c r="Y85">
        <v>1</v>
      </c>
      <c r="Z85">
        <v>0.71478500000011902</v>
      </c>
      <c r="AA85" t="s">
        <v>44</v>
      </c>
      <c r="AF85" t="s">
        <v>38</v>
      </c>
      <c r="AG85">
        <v>1</v>
      </c>
      <c r="AH85" t="s">
        <v>39</v>
      </c>
      <c r="AI85" t="s">
        <v>40</v>
      </c>
      <c r="AJ85" t="s">
        <v>41</v>
      </c>
      <c r="AK85">
        <v>60.0154719877155</v>
      </c>
      <c r="AL85" t="s">
        <v>42</v>
      </c>
    </row>
    <row r="86" spans="1:38" x14ac:dyDescent="0.35">
      <c r="A86">
        <v>83</v>
      </c>
      <c r="B86">
        <v>0</v>
      </c>
      <c r="C86">
        <v>83</v>
      </c>
      <c r="D86">
        <v>2</v>
      </c>
      <c r="E86" t="s">
        <v>45</v>
      </c>
      <c r="F86">
        <v>0</v>
      </c>
      <c r="G86">
        <v>0.60426379999989799</v>
      </c>
      <c r="H86" t="s">
        <v>44</v>
      </c>
      <c r="I86">
        <v>83</v>
      </c>
      <c r="J86">
        <v>0</v>
      </c>
      <c r="K86">
        <v>83</v>
      </c>
      <c r="L86">
        <v>0</v>
      </c>
      <c r="M86">
        <v>151.855758199999</v>
      </c>
      <c r="R86">
        <v>151.84278469999799</v>
      </c>
      <c r="S86">
        <v>151.855758199999</v>
      </c>
      <c r="T86">
        <v>152.855804599999</v>
      </c>
      <c r="U86">
        <v>152.855804599999</v>
      </c>
      <c r="V86">
        <v>153.47521369999899</v>
      </c>
      <c r="W86">
        <v>2</v>
      </c>
      <c r="X86" t="s">
        <v>45</v>
      </c>
      <c r="Y86">
        <v>0</v>
      </c>
      <c r="Z86">
        <v>0.60426379999989799</v>
      </c>
      <c r="AA86" t="s">
        <v>44</v>
      </c>
      <c r="AF86" t="s">
        <v>38</v>
      </c>
      <c r="AG86">
        <v>1</v>
      </c>
      <c r="AH86" t="s">
        <v>39</v>
      </c>
      <c r="AI86" t="s">
        <v>40</v>
      </c>
      <c r="AJ86" t="s">
        <v>41</v>
      </c>
      <c r="AK86">
        <v>60.0154719877155</v>
      </c>
      <c r="AL86" t="s">
        <v>42</v>
      </c>
    </row>
    <row r="87" spans="1:38" x14ac:dyDescent="0.35">
      <c r="A87">
        <v>84</v>
      </c>
      <c r="B87">
        <v>0</v>
      </c>
      <c r="C87">
        <v>84</v>
      </c>
      <c r="D87">
        <v>2</v>
      </c>
      <c r="E87" t="s">
        <v>45</v>
      </c>
      <c r="F87">
        <v>0</v>
      </c>
      <c r="G87">
        <v>0.74313590000019702</v>
      </c>
      <c r="H87" t="s">
        <v>44</v>
      </c>
      <c r="I87">
        <v>84</v>
      </c>
      <c r="J87">
        <v>0</v>
      </c>
      <c r="K87">
        <v>84</v>
      </c>
      <c r="L87">
        <v>0</v>
      </c>
      <c r="M87">
        <v>153.48916169999899</v>
      </c>
      <c r="R87">
        <v>153.4758215</v>
      </c>
      <c r="S87">
        <v>153.48916169999899</v>
      </c>
      <c r="T87">
        <v>154.48927379999799</v>
      </c>
      <c r="U87">
        <v>154.48927379999799</v>
      </c>
      <c r="V87">
        <v>155.242790799999</v>
      </c>
      <c r="W87">
        <v>2</v>
      </c>
      <c r="X87" t="s">
        <v>45</v>
      </c>
      <c r="Y87">
        <v>0</v>
      </c>
      <c r="Z87">
        <v>0.74313590000019702</v>
      </c>
      <c r="AA87" t="s">
        <v>44</v>
      </c>
      <c r="AF87" t="s">
        <v>38</v>
      </c>
      <c r="AG87">
        <v>1</v>
      </c>
      <c r="AH87" t="s">
        <v>39</v>
      </c>
      <c r="AI87" t="s">
        <v>40</v>
      </c>
      <c r="AJ87" t="s">
        <v>41</v>
      </c>
      <c r="AK87">
        <v>60.0154719877155</v>
      </c>
      <c r="AL87" t="s">
        <v>42</v>
      </c>
    </row>
    <row r="88" spans="1:38" x14ac:dyDescent="0.35">
      <c r="A88">
        <v>85</v>
      </c>
      <c r="B88">
        <v>0</v>
      </c>
      <c r="C88">
        <v>85</v>
      </c>
      <c r="D88">
        <v>0</v>
      </c>
      <c r="E88" t="s">
        <v>45</v>
      </c>
      <c r="F88">
        <v>1</v>
      </c>
      <c r="G88">
        <v>0.52078940000137597</v>
      </c>
      <c r="H88" t="s">
        <v>44</v>
      </c>
      <c r="I88">
        <v>85</v>
      </c>
      <c r="J88">
        <v>0</v>
      </c>
      <c r="K88">
        <v>85</v>
      </c>
      <c r="L88">
        <v>0</v>
      </c>
      <c r="M88">
        <v>155.25565449999999</v>
      </c>
      <c r="R88">
        <v>155.24340619999899</v>
      </c>
      <c r="S88">
        <v>155.25565449999999</v>
      </c>
      <c r="T88">
        <v>156.256203599998</v>
      </c>
      <c r="U88">
        <v>156.256203599998</v>
      </c>
      <c r="V88">
        <v>156.79093079999799</v>
      </c>
      <c r="W88">
        <v>0</v>
      </c>
      <c r="X88" t="s">
        <v>45</v>
      </c>
      <c r="Y88">
        <v>1</v>
      </c>
      <c r="Z88">
        <v>0.52078940000137597</v>
      </c>
      <c r="AA88" t="s">
        <v>44</v>
      </c>
      <c r="AF88" t="s">
        <v>38</v>
      </c>
      <c r="AG88">
        <v>1</v>
      </c>
      <c r="AH88" t="s">
        <v>39</v>
      </c>
      <c r="AI88" t="s">
        <v>40</v>
      </c>
      <c r="AJ88" t="s">
        <v>41</v>
      </c>
      <c r="AK88">
        <v>60.0154719877155</v>
      </c>
      <c r="AL88" t="s">
        <v>42</v>
      </c>
    </row>
    <row r="89" spans="1:38" x14ac:dyDescent="0.35">
      <c r="A89">
        <v>86</v>
      </c>
      <c r="B89">
        <v>0</v>
      </c>
      <c r="C89">
        <v>86</v>
      </c>
      <c r="D89">
        <v>0</v>
      </c>
      <c r="E89" t="s">
        <v>45</v>
      </c>
      <c r="F89">
        <v>1</v>
      </c>
      <c r="G89">
        <v>0.55827230000067996</v>
      </c>
      <c r="H89" t="s">
        <v>44</v>
      </c>
      <c r="I89">
        <v>86</v>
      </c>
      <c r="J89">
        <v>0</v>
      </c>
      <c r="K89">
        <v>86</v>
      </c>
      <c r="L89">
        <v>0</v>
      </c>
      <c r="M89">
        <v>156.80551560000001</v>
      </c>
      <c r="R89">
        <v>156.79143649999901</v>
      </c>
      <c r="S89">
        <v>156.80551560000001</v>
      </c>
      <c r="T89">
        <v>157.805797299999</v>
      </c>
      <c r="U89">
        <v>157.805797299999</v>
      </c>
      <c r="V89">
        <v>158.375180999999</v>
      </c>
      <c r="W89">
        <v>0</v>
      </c>
      <c r="X89" t="s">
        <v>45</v>
      </c>
      <c r="Y89">
        <v>1</v>
      </c>
      <c r="Z89">
        <v>0.55827230000067996</v>
      </c>
      <c r="AA89" t="s">
        <v>44</v>
      </c>
      <c r="AF89" t="s">
        <v>38</v>
      </c>
      <c r="AG89">
        <v>1</v>
      </c>
      <c r="AH89" t="s">
        <v>39</v>
      </c>
      <c r="AI89" t="s">
        <v>40</v>
      </c>
      <c r="AJ89" t="s">
        <v>41</v>
      </c>
      <c r="AK89">
        <v>60.0154719877155</v>
      </c>
      <c r="AL89" t="s">
        <v>42</v>
      </c>
    </row>
    <row r="90" spans="1:38" x14ac:dyDescent="0.35">
      <c r="A90">
        <v>87</v>
      </c>
      <c r="B90">
        <v>0</v>
      </c>
      <c r="C90">
        <v>87</v>
      </c>
      <c r="D90">
        <v>-2</v>
      </c>
      <c r="E90" t="s">
        <v>43</v>
      </c>
      <c r="F90">
        <v>1</v>
      </c>
      <c r="G90">
        <v>0.78313239999988504</v>
      </c>
      <c r="H90" t="s">
        <v>44</v>
      </c>
      <c r="I90">
        <v>87</v>
      </c>
      <c r="J90">
        <v>0</v>
      </c>
      <c r="K90">
        <v>87</v>
      </c>
      <c r="L90">
        <v>0</v>
      </c>
      <c r="M90">
        <v>158.38908639999801</v>
      </c>
      <c r="R90">
        <v>158.37578389999899</v>
      </c>
      <c r="S90">
        <v>158.38908639999801</v>
      </c>
      <c r="T90">
        <v>159.389274199998</v>
      </c>
      <c r="U90">
        <v>159.389274199998</v>
      </c>
      <c r="V90">
        <v>160.17618539999901</v>
      </c>
      <c r="W90">
        <v>-2</v>
      </c>
      <c r="X90" t="s">
        <v>43</v>
      </c>
      <c r="Y90">
        <v>1</v>
      </c>
      <c r="Z90">
        <v>0.78313239999988504</v>
      </c>
      <c r="AA90" t="s">
        <v>44</v>
      </c>
      <c r="AF90" t="s">
        <v>38</v>
      </c>
      <c r="AG90">
        <v>1</v>
      </c>
      <c r="AH90" t="s">
        <v>39</v>
      </c>
      <c r="AI90" t="s">
        <v>40</v>
      </c>
      <c r="AJ90" t="s">
        <v>41</v>
      </c>
      <c r="AK90">
        <v>60.0154719877155</v>
      </c>
      <c r="AL90" t="s">
        <v>42</v>
      </c>
    </row>
    <row r="91" spans="1:38" x14ac:dyDescent="0.35">
      <c r="A91">
        <v>88</v>
      </c>
      <c r="B91">
        <v>0</v>
      </c>
      <c r="C91">
        <v>88</v>
      </c>
      <c r="D91">
        <v>4</v>
      </c>
      <c r="E91" t="s">
        <v>45</v>
      </c>
      <c r="F91">
        <v>0</v>
      </c>
      <c r="G91">
        <v>0.71757989999969096</v>
      </c>
      <c r="H91" t="s">
        <v>44</v>
      </c>
      <c r="I91">
        <v>88</v>
      </c>
      <c r="J91">
        <v>0</v>
      </c>
      <c r="K91">
        <v>88</v>
      </c>
      <c r="L91">
        <v>0</v>
      </c>
      <c r="M91">
        <v>160.18902099999801</v>
      </c>
      <c r="R91">
        <v>160.17670139999899</v>
      </c>
      <c r="S91">
        <v>160.18902099999801</v>
      </c>
      <c r="T91">
        <v>161.18917919999799</v>
      </c>
      <c r="U91">
        <v>161.18917919999799</v>
      </c>
      <c r="V91">
        <v>161.909483499999</v>
      </c>
      <c r="W91">
        <v>4</v>
      </c>
      <c r="X91" t="s">
        <v>45</v>
      </c>
      <c r="Y91">
        <v>0</v>
      </c>
      <c r="Z91">
        <v>0.71757989999969096</v>
      </c>
      <c r="AA91" t="s">
        <v>44</v>
      </c>
      <c r="AF91" t="s">
        <v>38</v>
      </c>
      <c r="AG91">
        <v>1</v>
      </c>
      <c r="AH91" t="s">
        <v>39</v>
      </c>
      <c r="AI91" t="s">
        <v>40</v>
      </c>
      <c r="AJ91" t="s">
        <v>41</v>
      </c>
      <c r="AK91">
        <v>60.0154719877155</v>
      </c>
      <c r="AL91" t="s">
        <v>42</v>
      </c>
    </row>
    <row r="92" spans="1:38" x14ac:dyDescent="0.35">
      <c r="A92">
        <v>89</v>
      </c>
      <c r="B92">
        <v>0</v>
      </c>
      <c r="C92">
        <v>89</v>
      </c>
      <c r="D92">
        <v>0</v>
      </c>
      <c r="E92" t="s">
        <v>43</v>
      </c>
      <c r="F92">
        <v>0</v>
      </c>
      <c r="G92">
        <v>0.74843350000082798</v>
      </c>
      <c r="H92" t="s">
        <v>44</v>
      </c>
      <c r="I92">
        <v>89</v>
      </c>
      <c r="J92">
        <v>0</v>
      </c>
      <c r="K92">
        <v>89</v>
      </c>
      <c r="L92">
        <v>0</v>
      </c>
      <c r="M92">
        <v>161.92259439999901</v>
      </c>
      <c r="R92">
        <v>161.90995099999699</v>
      </c>
      <c r="S92">
        <v>161.92259439999901</v>
      </c>
      <c r="T92">
        <v>162.922769099997</v>
      </c>
      <c r="U92">
        <v>162.922769099997</v>
      </c>
      <c r="V92">
        <v>163.67576790000001</v>
      </c>
      <c r="W92">
        <v>0</v>
      </c>
      <c r="X92" t="s">
        <v>43</v>
      </c>
      <c r="Y92">
        <v>0</v>
      </c>
      <c r="Z92">
        <v>0.74843350000082798</v>
      </c>
      <c r="AA92" t="s">
        <v>44</v>
      </c>
      <c r="AF92" t="s">
        <v>38</v>
      </c>
      <c r="AG92">
        <v>1</v>
      </c>
      <c r="AH92" t="s">
        <v>39</v>
      </c>
      <c r="AI92" t="s">
        <v>40</v>
      </c>
      <c r="AJ92" t="s">
        <v>41</v>
      </c>
      <c r="AK92">
        <v>60.0154719877155</v>
      </c>
      <c r="AL92" t="s">
        <v>42</v>
      </c>
    </row>
    <row r="93" spans="1:38" x14ac:dyDescent="0.35">
      <c r="A93">
        <v>90</v>
      </c>
      <c r="B93">
        <v>0</v>
      </c>
      <c r="C93">
        <v>90</v>
      </c>
      <c r="D93">
        <v>3</v>
      </c>
      <c r="E93" t="s">
        <v>43</v>
      </c>
      <c r="F93">
        <v>1</v>
      </c>
      <c r="G93">
        <v>1.8340707999996</v>
      </c>
      <c r="H93" t="s">
        <v>44</v>
      </c>
      <c r="I93">
        <v>90</v>
      </c>
      <c r="J93">
        <v>0</v>
      </c>
      <c r="K93">
        <v>90</v>
      </c>
      <c r="L93">
        <v>0</v>
      </c>
      <c r="M93">
        <v>163.68912379999799</v>
      </c>
      <c r="R93">
        <v>163.67624050000001</v>
      </c>
      <c r="S93">
        <v>163.68912379999799</v>
      </c>
      <c r="T93">
        <v>164.689452499998</v>
      </c>
      <c r="U93">
        <v>164.689452499998</v>
      </c>
      <c r="V93">
        <v>166.526310099998</v>
      </c>
      <c r="W93">
        <v>3</v>
      </c>
      <c r="X93" t="s">
        <v>43</v>
      </c>
      <c r="Y93">
        <v>1</v>
      </c>
      <c r="Z93">
        <v>1.8340707999996</v>
      </c>
      <c r="AA93" t="s">
        <v>44</v>
      </c>
      <c r="AF93" t="s">
        <v>38</v>
      </c>
      <c r="AG93">
        <v>1</v>
      </c>
      <c r="AH93" t="s">
        <v>39</v>
      </c>
      <c r="AI93" t="s">
        <v>40</v>
      </c>
      <c r="AJ93" t="s">
        <v>41</v>
      </c>
      <c r="AK93">
        <v>60.0154719877155</v>
      </c>
      <c r="AL93" t="s">
        <v>42</v>
      </c>
    </row>
    <row r="94" spans="1:38" x14ac:dyDescent="0.35">
      <c r="A94">
        <v>91</v>
      </c>
      <c r="B94">
        <v>0</v>
      </c>
      <c r="C94">
        <v>91</v>
      </c>
      <c r="D94">
        <v>0</v>
      </c>
      <c r="E94" t="s">
        <v>45</v>
      </c>
      <c r="F94">
        <v>1</v>
      </c>
      <c r="G94">
        <v>1.03556699999899</v>
      </c>
      <c r="H94" t="s">
        <v>44</v>
      </c>
      <c r="I94">
        <v>91</v>
      </c>
      <c r="J94">
        <v>0</v>
      </c>
      <c r="K94">
        <v>91</v>
      </c>
      <c r="L94">
        <v>0</v>
      </c>
      <c r="M94">
        <v>166.53875439999999</v>
      </c>
      <c r="R94">
        <v>166.52683590000001</v>
      </c>
      <c r="S94">
        <v>166.53875439999999</v>
      </c>
      <c r="T94">
        <v>167.53892629999899</v>
      </c>
      <c r="U94">
        <v>167.53892629999899</v>
      </c>
      <c r="V94">
        <v>168.590477099998</v>
      </c>
      <c r="W94">
        <v>0</v>
      </c>
      <c r="X94" t="s">
        <v>45</v>
      </c>
      <c r="Y94">
        <v>1</v>
      </c>
      <c r="Z94">
        <v>1.03556699999899</v>
      </c>
      <c r="AA94" t="s">
        <v>44</v>
      </c>
      <c r="AF94" t="s">
        <v>38</v>
      </c>
      <c r="AG94">
        <v>1</v>
      </c>
      <c r="AH94" t="s">
        <v>39</v>
      </c>
      <c r="AI94" t="s">
        <v>40</v>
      </c>
      <c r="AJ94" t="s">
        <v>41</v>
      </c>
      <c r="AK94">
        <v>60.0154719877155</v>
      </c>
      <c r="AL94" t="s">
        <v>42</v>
      </c>
    </row>
    <row r="95" spans="1:38" x14ac:dyDescent="0.35">
      <c r="A95">
        <v>92</v>
      </c>
      <c r="B95">
        <v>0</v>
      </c>
      <c r="C95">
        <v>92</v>
      </c>
      <c r="D95">
        <v>3</v>
      </c>
      <c r="E95" t="s">
        <v>43</v>
      </c>
      <c r="F95">
        <v>1</v>
      </c>
      <c r="G95">
        <v>0.64323830000284898</v>
      </c>
      <c r="H95" t="s">
        <v>44</v>
      </c>
      <c r="I95">
        <v>92</v>
      </c>
      <c r="J95">
        <v>0</v>
      </c>
      <c r="K95">
        <v>92</v>
      </c>
      <c r="L95">
        <v>0</v>
      </c>
      <c r="M95">
        <v>168.605605</v>
      </c>
      <c r="R95">
        <v>168.59098269999899</v>
      </c>
      <c r="S95">
        <v>168.605605</v>
      </c>
      <c r="T95">
        <v>169.60556339999999</v>
      </c>
      <c r="U95">
        <v>169.60556339999999</v>
      </c>
      <c r="V95">
        <v>170.25842270000001</v>
      </c>
      <c r="W95">
        <v>3</v>
      </c>
      <c r="X95" t="s">
        <v>43</v>
      </c>
      <c r="Y95">
        <v>1</v>
      </c>
      <c r="Z95">
        <v>0.64323830000284898</v>
      </c>
      <c r="AA95" t="s">
        <v>44</v>
      </c>
      <c r="AF95" t="s">
        <v>38</v>
      </c>
      <c r="AG95">
        <v>1</v>
      </c>
      <c r="AH95" t="s">
        <v>39</v>
      </c>
      <c r="AI95" t="s">
        <v>40</v>
      </c>
      <c r="AJ95" t="s">
        <v>41</v>
      </c>
      <c r="AK95">
        <v>60.0154719877155</v>
      </c>
      <c r="AL95" t="s">
        <v>42</v>
      </c>
    </row>
    <row r="96" spans="1:38" x14ac:dyDescent="0.35">
      <c r="A96">
        <v>93</v>
      </c>
      <c r="B96">
        <v>0</v>
      </c>
      <c r="C96">
        <v>93</v>
      </c>
      <c r="D96">
        <v>0</v>
      </c>
      <c r="E96" t="s">
        <v>43</v>
      </c>
      <c r="F96">
        <v>0</v>
      </c>
      <c r="G96">
        <v>0.75921899999957498</v>
      </c>
      <c r="H96" t="s">
        <v>44</v>
      </c>
      <c r="I96">
        <v>93</v>
      </c>
      <c r="J96">
        <v>0</v>
      </c>
      <c r="K96">
        <v>93</v>
      </c>
      <c r="L96">
        <v>0</v>
      </c>
      <c r="M96">
        <v>170.272249999998</v>
      </c>
      <c r="R96">
        <v>170.258929999999</v>
      </c>
      <c r="S96">
        <v>170.272249999998</v>
      </c>
      <c r="T96">
        <v>171.27248989999799</v>
      </c>
      <c r="U96">
        <v>171.27248989999799</v>
      </c>
      <c r="V96">
        <v>172.0407744</v>
      </c>
      <c r="W96">
        <v>0</v>
      </c>
      <c r="X96" t="s">
        <v>43</v>
      </c>
      <c r="Y96">
        <v>0</v>
      </c>
      <c r="Z96">
        <v>0.75921899999957498</v>
      </c>
      <c r="AA96" t="s">
        <v>44</v>
      </c>
      <c r="AF96" t="s">
        <v>38</v>
      </c>
      <c r="AG96">
        <v>1</v>
      </c>
      <c r="AH96" t="s">
        <v>39</v>
      </c>
      <c r="AI96" t="s">
        <v>40</v>
      </c>
      <c r="AJ96" t="s">
        <v>41</v>
      </c>
      <c r="AK96">
        <v>60.0154719877155</v>
      </c>
      <c r="AL96" t="s">
        <v>42</v>
      </c>
    </row>
    <row r="97" spans="1:38" x14ac:dyDescent="0.35">
      <c r="A97">
        <v>94</v>
      </c>
      <c r="B97">
        <v>0</v>
      </c>
      <c r="C97">
        <v>94</v>
      </c>
      <c r="D97">
        <v>-2</v>
      </c>
      <c r="E97" t="s">
        <v>43</v>
      </c>
      <c r="F97">
        <v>1</v>
      </c>
      <c r="G97">
        <v>0.61308799999824204</v>
      </c>
      <c r="H97" t="s">
        <v>44</v>
      </c>
      <c r="I97">
        <v>94</v>
      </c>
      <c r="J97">
        <v>0</v>
      </c>
      <c r="K97">
        <v>94</v>
      </c>
      <c r="L97">
        <v>0</v>
      </c>
      <c r="M97">
        <v>172.05524139999699</v>
      </c>
      <c r="R97">
        <v>172.04172669999701</v>
      </c>
      <c r="S97">
        <v>172.05524139999699</v>
      </c>
      <c r="T97">
        <v>173.05558529999999</v>
      </c>
      <c r="U97">
        <v>173.05558529999999</v>
      </c>
      <c r="V97">
        <v>173.674252</v>
      </c>
      <c r="W97">
        <v>-2</v>
      </c>
      <c r="X97" t="s">
        <v>43</v>
      </c>
      <c r="Y97">
        <v>1</v>
      </c>
      <c r="Z97">
        <v>0.61308799999824204</v>
      </c>
      <c r="AA97" t="s">
        <v>44</v>
      </c>
      <c r="AF97" t="s">
        <v>38</v>
      </c>
      <c r="AG97">
        <v>1</v>
      </c>
      <c r="AH97" t="s">
        <v>39</v>
      </c>
      <c r="AI97" t="s">
        <v>40</v>
      </c>
      <c r="AJ97" t="s">
        <v>41</v>
      </c>
      <c r="AK97">
        <v>60.0154719877155</v>
      </c>
      <c r="AL97" t="s">
        <v>42</v>
      </c>
    </row>
    <row r="98" spans="1:38" x14ac:dyDescent="0.35">
      <c r="A98">
        <v>95</v>
      </c>
      <c r="B98">
        <v>0</v>
      </c>
      <c r="C98">
        <v>95</v>
      </c>
      <c r="D98">
        <v>1</v>
      </c>
      <c r="E98" t="s">
        <v>43</v>
      </c>
      <c r="F98">
        <v>1</v>
      </c>
      <c r="G98">
        <v>0.61454379999849995</v>
      </c>
      <c r="H98" t="s">
        <v>44</v>
      </c>
      <c r="I98">
        <v>95</v>
      </c>
      <c r="J98">
        <v>0</v>
      </c>
      <c r="K98">
        <v>95</v>
      </c>
      <c r="L98">
        <v>0</v>
      </c>
      <c r="M98">
        <v>173.6887523</v>
      </c>
      <c r="R98">
        <v>173.674707399997</v>
      </c>
      <c r="S98">
        <v>173.6887523</v>
      </c>
      <c r="T98">
        <v>174.68888679999799</v>
      </c>
      <c r="U98">
        <v>174.68888679999799</v>
      </c>
      <c r="V98">
        <v>175.30886779999801</v>
      </c>
      <c r="W98">
        <v>1</v>
      </c>
      <c r="X98" t="s">
        <v>43</v>
      </c>
      <c r="Y98">
        <v>1</v>
      </c>
      <c r="Z98">
        <v>0.61454379999849995</v>
      </c>
      <c r="AA98" t="s">
        <v>44</v>
      </c>
      <c r="AF98" t="s">
        <v>38</v>
      </c>
      <c r="AG98">
        <v>1</v>
      </c>
      <c r="AH98" t="s">
        <v>39</v>
      </c>
      <c r="AI98" t="s">
        <v>40</v>
      </c>
      <c r="AJ98" t="s">
        <v>41</v>
      </c>
      <c r="AK98">
        <v>60.0154719877155</v>
      </c>
      <c r="AL98" t="s">
        <v>42</v>
      </c>
    </row>
    <row r="99" spans="1:38" x14ac:dyDescent="0.35">
      <c r="A99">
        <v>96</v>
      </c>
      <c r="B99">
        <v>0</v>
      </c>
      <c r="C99">
        <v>96</v>
      </c>
      <c r="D99">
        <v>0</v>
      </c>
      <c r="E99" t="s">
        <v>43</v>
      </c>
      <c r="F99">
        <v>0</v>
      </c>
      <c r="G99">
        <v>0.64322860000174797</v>
      </c>
      <c r="H99" t="s">
        <v>44</v>
      </c>
      <c r="I99">
        <v>96</v>
      </c>
      <c r="J99">
        <v>0</v>
      </c>
      <c r="K99">
        <v>96</v>
      </c>
      <c r="L99">
        <v>0</v>
      </c>
      <c r="M99">
        <v>175.322790099999</v>
      </c>
      <c r="R99">
        <v>175.30933200000001</v>
      </c>
      <c r="S99">
        <v>175.322790099999</v>
      </c>
      <c r="T99">
        <v>176.32222089999701</v>
      </c>
      <c r="U99">
        <v>176.32222089999701</v>
      </c>
      <c r="V99">
        <v>176.97422589999701</v>
      </c>
      <c r="W99">
        <v>0</v>
      </c>
      <c r="X99" t="s">
        <v>43</v>
      </c>
      <c r="Y99">
        <v>0</v>
      </c>
      <c r="Z99">
        <v>0.64322860000174797</v>
      </c>
      <c r="AA99" t="s">
        <v>44</v>
      </c>
      <c r="AF99" t="s">
        <v>38</v>
      </c>
      <c r="AG99">
        <v>1</v>
      </c>
      <c r="AH99" t="s">
        <v>39</v>
      </c>
      <c r="AI99" t="s">
        <v>40</v>
      </c>
      <c r="AJ99" t="s">
        <v>41</v>
      </c>
      <c r="AK99">
        <v>60.0154719877155</v>
      </c>
      <c r="AL99" t="s">
        <v>42</v>
      </c>
    </row>
    <row r="100" spans="1:38" x14ac:dyDescent="0.35">
      <c r="A100">
        <v>97</v>
      </c>
      <c r="B100">
        <v>0</v>
      </c>
      <c r="C100">
        <v>97</v>
      </c>
      <c r="D100">
        <v>0</v>
      </c>
      <c r="E100" t="s">
        <v>45</v>
      </c>
      <c r="F100">
        <v>1</v>
      </c>
      <c r="G100">
        <v>0.61001559999931398</v>
      </c>
      <c r="H100" t="s">
        <v>44</v>
      </c>
      <c r="I100">
        <v>97</v>
      </c>
      <c r="J100">
        <v>0</v>
      </c>
      <c r="K100">
        <v>97</v>
      </c>
      <c r="L100">
        <v>0</v>
      </c>
      <c r="M100">
        <v>176.98879590000001</v>
      </c>
      <c r="R100">
        <v>176.974656399997</v>
      </c>
      <c r="S100">
        <v>176.98879590000001</v>
      </c>
      <c r="T100">
        <v>177.98847430000001</v>
      </c>
      <c r="U100">
        <v>177.98847430000001</v>
      </c>
      <c r="V100">
        <v>178.606642999999</v>
      </c>
      <c r="W100">
        <v>0</v>
      </c>
      <c r="X100" t="s">
        <v>45</v>
      </c>
      <c r="Y100">
        <v>1</v>
      </c>
      <c r="Z100">
        <v>0.61001559999931398</v>
      </c>
      <c r="AA100" t="s">
        <v>44</v>
      </c>
      <c r="AF100" t="s">
        <v>38</v>
      </c>
      <c r="AG100">
        <v>1</v>
      </c>
      <c r="AH100" t="s">
        <v>39</v>
      </c>
      <c r="AI100" t="s">
        <v>40</v>
      </c>
      <c r="AJ100" t="s">
        <v>41</v>
      </c>
      <c r="AK100">
        <v>60.0154719877155</v>
      </c>
      <c r="AL100" t="s">
        <v>42</v>
      </c>
    </row>
    <row r="101" spans="1:38" x14ac:dyDescent="0.35">
      <c r="A101">
        <v>98</v>
      </c>
      <c r="B101">
        <v>0</v>
      </c>
      <c r="C101">
        <v>98</v>
      </c>
      <c r="D101">
        <v>-2</v>
      </c>
      <c r="E101" t="s">
        <v>43</v>
      </c>
      <c r="F101">
        <v>1</v>
      </c>
      <c r="G101">
        <v>1.6384409000020199</v>
      </c>
      <c r="H101" t="s">
        <v>44</v>
      </c>
      <c r="I101">
        <v>98</v>
      </c>
      <c r="J101">
        <v>0</v>
      </c>
      <c r="K101">
        <v>98</v>
      </c>
      <c r="L101">
        <v>0</v>
      </c>
      <c r="M101">
        <v>178.62203450000001</v>
      </c>
      <c r="R101">
        <v>178.607059099998</v>
      </c>
      <c r="S101">
        <v>178.62203450000001</v>
      </c>
      <c r="T101">
        <v>179.62189889999999</v>
      </c>
      <c r="U101">
        <v>179.62189889999999</v>
      </c>
      <c r="V101">
        <v>181.27451409999699</v>
      </c>
      <c r="W101">
        <v>-2</v>
      </c>
      <c r="X101" t="s">
        <v>43</v>
      </c>
      <c r="Y101">
        <v>1</v>
      </c>
      <c r="Z101">
        <v>1.6384409000020199</v>
      </c>
      <c r="AA101" t="s">
        <v>44</v>
      </c>
      <c r="AF101" t="s">
        <v>38</v>
      </c>
      <c r="AG101">
        <v>1</v>
      </c>
      <c r="AH101" t="s">
        <v>39</v>
      </c>
      <c r="AI101" t="s">
        <v>40</v>
      </c>
      <c r="AJ101" t="s">
        <v>41</v>
      </c>
      <c r="AK101">
        <v>60.0154719877155</v>
      </c>
      <c r="AL101" t="s">
        <v>42</v>
      </c>
    </row>
    <row r="102" spans="1:38" x14ac:dyDescent="0.35">
      <c r="A102">
        <v>99</v>
      </c>
      <c r="B102">
        <v>0</v>
      </c>
      <c r="C102">
        <v>99</v>
      </c>
      <c r="D102">
        <v>-3</v>
      </c>
      <c r="E102" t="s">
        <v>43</v>
      </c>
      <c r="F102">
        <v>1</v>
      </c>
      <c r="G102">
        <v>0.88638060000084795</v>
      </c>
      <c r="H102" t="s">
        <v>44</v>
      </c>
      <c r="I102">
        <v>99</v>
      </c>
      <c r="J102">
        <v>0</v>
      </c>
      <c r="K102">
        <v>99</v>
      </c>
      <c r="L102">
        <v>0</v>
      </c>
      <c r="M102">
        <v>181.28854609999999</v>
      </c>
      <c r="R102">
        <v>181.27509719999901</v>
      </c>
      <c r="S102">
        <v>181.28854609999999</v>
      </c>
      <c r="T102">
        <v>182.28868239999699</v>
      </c>
      <c r="U102">
        <v>182.28868239999699</v>
      </c>
      <c r="V102">
        <v>183.19045809999801</v>
      </c>
      <c r="W102">
        <v>-3</v>
      </c>
      <c r="X102" t="s">
        <v>43</v>
      </c>
      <c r="Y102">
        <v>1</v>
      </c>
      <c r="Z102">
        <v>0.88638060000084795</v>
      </c>
      <c r="AA102" t="s">
        <v>44</v>
      </c>
      <c r="AF102" t="s">
        <v>38</v>
      </c>
      <c r="AG102">
        <v>1</v>
      </c>
      <c r="AH102" t="s">
        <v>39</v>
      </c>
      <c r="AI102" t="s">
        <v>40</v>
      </c>
      <c r="AJ102" t="s">
        <v>41</v>
      </c>
      <c r="AK102">
        <v>60.0154719877155</v>
      </c>
      <c r="AL102" t="s">
        <v>42</v>
      </c>
    </row>
    <row r="103" spans="1:38" x14ac:dyDescent="0.35">
      <c r="AB103">
        <v>183.19073239999801</v>
      </c>
      <c r="AC103">
        <v>183.20502759999999</v>
      </c>
      <c r="AD103">
        <v>185.20490639999801</v>
      </c>
      <c r="AE103">
        <v>185.1894322</v>
      </c>
      <c r="AF103" t="s">
        <v>38</v>
      </c>
      <c r="AG103">
        <v>1</v>
      </c>
      <c r="AH103" t="s">
        <v>39</v>
      </c>
      <c r="AI103" t="s">
        <v>40</v>
      </c>
      <c r="AJ103" t="s">
        <v>41</v>
      </c>
      <c r="AK103">
        <v>60.0154719877155</v>
      </c>
      <c r="AL10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FC66-8174-4968-BCEC-22499841636E}">
  <dimension ref="A1:O103"/>
  <sheetViews>
    <sheetView zoomScale="71" zoomScaleNormal="85" workbookViewId="0">
      <selection activeCell="I28" sqref="I28"/>
    </sheetView>
  </sheetViews>
  <sheetFormatPr defaultRowHeight="14.5" x14ac:dyDescent="0.35"/>
  <cols>
    <col min="2" max="2" width="18.54296875" bestFit="1" customWidth="1"/>
    <col min="3" max="3" width="18.1796875" bestFit="1" customWidth="1"/>
    <col min="5" max="5" width="8.6328125" customWidth="1"/>
    <col min="6" max="6" width="12.36328125" bestFit="1" customWidth="1"/>
    <col min="7" max="7" width="15.1796875" customWidth="1"/>
    <col min="8" max="8" width="13" bestFit="1" customWidth="1"/>
    <col min="9" max="9" width="26" bestFit="1" customWidth="1"/>
    <col min="14" max="14" width="10.6328125" bestFit="1" customWidth="1"/>
    <col min="15" max="15" width="15.453125" bestFit="1" customWidth="1"/>
  </cols>
  <sheetData>
    <row r="1" spans="1:15" x14ac:dyDescent="0.35">
      <c r="A1" t="s">
        <v>3</v>
      </c>
      <c r="B1" t="s">
        <v>4</v>
      </c>
      <c r="C1" t="s">
        <v>5</v>
      </c>
      <c r="D1" t="s">
        <v>63</v>
      </c>
      <c r="E1" t="s">
        <v>64</v>
      </c>
    </row>
    <row r="2" spans="1:15" x14ac:dyDescent="0.35">
      <c r="A2">
        <v>-5</v>
      </c>
      <c r="B2" t="s">
        <v>43</v>
      </c>
      <c r="C2">
        <v>1</v>
      </c>
      <c r="D2">
        <v>1</v>
      </c>
    </row>
    <row r="3" spans="1:15" x14ac:dyDescent="0.35">
      <c r="A3">
        <v>-5</v>
      </c>
      <c r="B3" t="s">
        <v>43</v>
      </c>
      <c r="C3">
        <v>1</v>
      </c>
      <c r="D3">
        <v>1</v>
      </c>
    </row>
    <row r="4" spans="1:15" x14ac:dyDescent="0.35">
      <c r="A4">
        <v>-5</v>
      </c>
      <c r="B4" t="s">
        <v>43</v>
      </c>
      <c r="C4">
        <v>1</v>
      </c>
      <c r="D4">
        <v>1</v>
      </c>
    </row>
    <row r="5" spans="1:15" x14ac:dyDescent="0.35">
      <c r="A5">
        <v>-5</v>
      </c>
      <c r="B5" t="s">
        <v>43</v>
      </c>
      <c r="C5">
        <v>1</v>
      </c>
      <c r="D5">
        <v>1</v>
      </c>
      <c r="F5" t="s">
        <v>73</v>
      </c>
      <c r="H5" t="s">
        <v>48</v>
      </c>
      <c r="I5" t="s">
        <v>49</v>
      </c>
    </row>
    <row r="6" spans="1:15" x14ac:dyDescent="0.35">
      <c r="A6">
        <v>-5</v>
      </c>
      <c r="B6" t="s">
        <v>43</v>
      </c>
      <c r="C6">
        <v>1</v>
      </c>
      <c r="D6">
        <v>1</v>
      </c>
      <c r="F6" t="s">
        <v>74</v>
      </c>
      <c r="G6" t="s">
        <v>46</v>
      </c>
      <c r="H6" t="s">
        <v>50</v>
      </c>
      <c r="I6" t="s">
        <v>51</v>
      </c>
    </row>
    <row r="7" spans="1:15" x14ac:dyDescent="0.35">
      <c r="A7">
        <v>-4</v>
      </c>
      <c r="B7" t="s">
        <v>43</v>
      </c>
      <c r="C7">
        <v>1</v>
      </c>
      <c r="D7">
        <v>1</v>
      </c>
      <c r="F7" t="s">
        <v>75</v>
      </c>
      <c r="G7" t="s">
        <v>47</v>
      </c>
      <c r="H7" t="s">
        <v>52</v>
      </c>
      <c r="I7" t="s">
        <v>53</v>
      </c>
    </row>
    <row r="8" spans="1:15" x14ac:dyDescent="0.35">
      <c r="A8">
        <v>-4</v>
      </c>
      <c r="B8" t="s">
        <v>43</v>
      </c>
      <c r="C8">
        <v>1</v>
      </c>
      <c r="D8">
        <v>1</v>
      </c>
    </row>
    <row r="9" spans="1:15" x14ac:dyDescent="0.35">
      <c r="A9">
        <v>-4</v>
      </c>
      <c r="B9" t="s">
        <v>43</v>
      </c>
      <c r="C9">
        <v>1</v>
      </c>
      <c r="D9">
        <v>1</v>
      </c>
      <c r="L9" t="s">
        <v>50</v>
      </c>
      <c r="M9" t="s">
        <v>51</v>
      </c>
      <c r="N9" t="s">
        <v>52</v>
      </c>
      <c r="O9" t="s">
        <v>53</v>
      </c>
    </row>
    <row r="10" spans="1:15" x14ac:dyDescent="0.35">
      <c r="A10">
        <v>-4</v>
      </c>
      <c r="B10" t="s">
        <v>43</v>
      </c>
      <c r="C10">
        <v>1</v>
      </c>
      <c r="D10">
        <v>1</v>
      </c>
      <c r="L10">
        <v>23</v>
      </c>
      <c r="M10">
        <v>25</v>
      </c>
      <c r="N10">
        <v>8</v>
      </c>
      <c r="O10">
        <v>44</v>
      </c>
    </row>
    <row r="11" spans="1:15" x14ac:dyDescent="0.35">
      <c r="A11">
        <v>-4</v>
      </c>
      <c r="B11" t="s">
        <v>43</v>
      </c>
      <c r="C11">
        <v>1</v>
      </c>
      <c r="D11">
        <v>1</v>
      </c>
      <c r="H11" t="s">
        <v>48</v>
      </c>
      <c r="I11" t="s">
        <v>49</v>
      </c>
    </row>
    <row r="12" spans="1:15" x14ac:dyDescent="0.35">
      <c r="A12">
        <v>-3</v>
      </c>
      <c r="B12" t="s">
        <v>43</v>
      </c>
      <c r="C12">
        <v>1</v>
      </c>
      <c r="D12">
        <v>1</v>
      </c>
      <c r="G12" t="s">
        <v>46</v>
      </c>
      <c r="H12" t="s">
        <v>61</v>
      </c>
      <c r="I12" t="s">
        <v>60</v>
      </c>
    </row>
    <row r="13" spans="1:15" x14ac:dyDescent="0.35">
      <c r="A13">
        <v>-3</v>
      </c>
      <c r="B13" t="s">
        <v>43</v>
      </c>
      <c r="C13">
        <v>1</v>
      </c>
      <c r="D13">
        <v>1</v>
      </c>
      <c r="G13" t="s">
        <v>47</v>
      </c>
      <c r="H13" t="s">
        <v>57</v>
      </c>
      <c r="I13" t="s">
        <v>56</v>
      </c>
    </row>
    <row r="14" spans="1:15" x14ac:dyDescent="0.35">
      <c r="A14">
        <v>-3</v>
      </c>
      <c r="B14" t="s">
        <v>43</v>
      </c>
      <c r="C14">
        <v>1</v>
      </c>
      <c r="D14">
        <v>1</v>
      </c>
      <c r="H14" t="s">
        <v>65</v>
      </c>
      <c r="I14" t="s">
        <v>66</v>
      </c>
    </row>
    <row r="15" spans="1:15" x14ac:dyDescent="0.35">
      <c r="A15">
        <v>-3</v>
      </c>
      <c r="B15" t="s">
        <v>43</v>
      </c>
      <c r="C15">
        <v>1</v>
      </c>
      <c r="D15">
        <v>1</v>
      </c>
    </row>
    <row r="16" spans="1:15" x14ac:dyDescent="0.35">
      <c r="A16">
        <v>-3</v>
      </c>
      <c r="B16" t="s">
        <v>43</v>
      </c>
      <c r="C16">
        <v>1</v>
      </c>
      <c r="D16">
        <v>1</v>
      </c>
      <c r="H16" t="s">
        <v>48</v>
      </c>
      <c r="I16" t="s">
        <v>49</v>
      </c>
    </row>
    <row r="17" spans="1:9" x14ac:dyDescent="0.35">
      <c r="A17">
        <v>-3</v>
      </c>
      <c r="B17" t="s">
        <v>43</v>
      </c>
      <c r="C17">
        <v>1</v>
      </c>
      <c r="D17">
        <v>1</v>
      </c>
      <c r="G17" t="s">
        <v>46</v>
      </c>
      <c r="H17">
        <f>SUM(4,2,17)</f>
        <v>23</v>
      </c>
      <c r="I17">
        <f>SUM(3,1,21)</f>
        <v>25</v>
      </c>
    </row>
    <row r="18" spans="1:9" x14ac:dyDescent="0.35">
      <c r="A18">
        <v>-3</v>
      </c>
      <c r="B18" t="s">
        <v>43</v>
      </c>
      <c r="C18">
        <v>1</v>
      </c>
      <c r="D18">
        <v>1</v>
      </c>
      <c r="G18" t="s">
        <v>47</v>
      </c>
      <c r="H18">
        <f>SUM(1,7)</f>
        <v>8</v>
      </c>
      <c r="I18">
        <f>SUM(19,8,17)</f>
        <v>44</v>
      </c>
    </row>
    <row r="19" spans="1:9" x14ac:dyDescent="0.35">
      <c r="A19">
        <v>-3</v>
      </c>
      <c r="B19" t="s">
        <v>43</v>
      </c>
      <c r="C19">
        <v>1</v>
      </c>
      <c r="D19">
        <v>1</v>
      </c>
    </row>
    <row r="20" spans="1:9" x14ac:dyDescent="0.35">
      <c r="A20">
        <v>-3</v>
      </c>
      <c r="B20" t="s">
        <v>43</v>
      </c>
      <c r="C20">
        <v>1</v>
      </c>
      <c r="D20">
        <v>1</v>
      </c>
    </row>
    <row r="21" spans="1:9" x14ac:dyDescent="0.35">
      <c r="A21">
        <v>-2</v>
      </c>
      <c r="B21" t="s">
        <v>45</v>
      </c>
      <c r="C21">
        <v>0</v>
      </c>
      <c r="E21">
        <v>1</v>
      </c>
    </row>
    <row r="22" spans="1:9" x14ac:dyDescent="0.35">
      <c r="A22">
        <v>-2</v>
      </c>
      <c r="B22" t="s">
        <v>43</v>
      </c>
      <c r="C22">
        <v>1</v>
      </c>
      <c r="D22">
        <v>1</v>
      </c>
      <c r="G22" t="s">
        <v>69</v>
      </c>
      <c r="H22">
        <f>H17/(H17+I17)</f>
        <v>0.47916666666666669</v>
      </c>
      <c r="I22" t="s">
        <v>67</v>
      </c>
    </row>
    <row r="23" spans="1:9" x14ac:dyDescent="0.35">
      <c r="A23">
        <v>-2</v>
      </c>
      <c r="B23" t="s">
        <v>43</v>
      </c>
      <c r="C23">
        <v>1</v>
      </c>
      <c r="D23">
        <v>1</v>
      </c>
      <c r="G23" t="s">
        <v>70</v>
      </c>
      <c r="H23">
        <f>H18/(H18+I18)</f>
        <v>0.15384615384615385</v>
      </c>
      <c r="I23" t="s">
        <v>68</v>
      </c>
    </row>
    <row r="24" spans="1:9" x14ac:dyDescent="0.35">
      <c r="A24">
        <v>-2</v>
      </c>
      <c r="B24" t="s">
        <v>43</v>
      </c>
      <c r="C24">
        <v>1</v>
      </c>
      <c r="D24">
        <v>1</v>
      </c>
    </row>
    <row r="25" spans="1:9" x14ac:dyDescent="0.35">
      <c r="A25">
        <v>-2</v>
      </c>
      <c r="B25" t="s">
        <v>43</v>
      </c>
      <c r="C25">
        <v>1</v>
      </c>
      <c r="D25">
        <v>1</v>
      </c>
      <c r="G25" t="s">
        <v>71</v>
      </c>
      <c r="H25">
        <f>NORMSINV(H22)-NORMSINV(H23)</f>
        <v>0.96783105241025857</v>
      </c>
      <c r="I25" t="s">
        <v>76</v>
      </c>
    </row>
    <row r="26" spans="1:9" x14ac:dyDescent="0.35">
      <c r="A26">
        <v>-2</v>
      </c>
      <c r="B26" t="s">
        <v>43</v>
      </c>
      <c r="C26">
        <v>1</v>
      </c>
      <c r="D26">
        <v>1</v>
      </c>
      <c r="G26" t="s">
        <v>72</v>
      </c>
      <c r="H26">
        <f>-NORMSINV(H22)+NORMSINV(H23)/2</f>
        <v>-0.45779293601715915</v>
      </c>
      <c r="I26" t="s">
        <v>54</v>
      </c>
    </row>
    <row r="27" spans="1:9" x14ac:dyDescent="0.35">
      <c r="A27">
        <v>-2</v>
      </c>
      <c r="B27" t="s">
        <v>43</v>
      </c>
      <c r="C27">
        <v>1</v>
      </c>
      <c r="D27">
        <v>1</v>
      </c>
    </row>
    <row r="28" spans="1:9" x14ac:dyDescent="0.35">
      <c r="A28">
        <v>-2</v>
      </c>
      <c r="B28" t="s">
        <v>43</v>
      </c>
      <c r="C28">
        <v>1</v>
      </c>
      <c r="D28">
        <v>1</v>
      </c>
    </row>
    <row r="29" spans="1:9" x14ac:dyDescent="0.35">
      <c r="A29">
        <v>-2</v>
      </c>
      <c r="B29" t="s">
        <v>43</v>
      </c>
      <c r="C29">
        <v>1</v>
      </c>
      <c r="D29">
        <v>1</v>
      </c>
    </row>
    <row r="30" spans="1:9" x14ac:dyDescent="0.35">
      <c r="E30" t="s">
        <v>58</v>
      </c>
      <c r="F30" t="s">
        <v>59</v>
      </c>
    </row>
    <row r="31" spans="1:9" x14ac:dyDescent="0.35">
      <c r="A31">
        <v>0</v>
      </c>
      <c r="B31" t="s">
        <v>43</v>
      </c>
      <c r="C31">
        <v>0</v>
      </c>
      <c r="D31" s="1" t="s">
        <v>62</v>
      </c>
      <c r="E31">
        <v>1</v>
      </c>
    </row>
    <row r="32" spans="1:9" x14ac:dyDescent="0.35">
      <c r="A32">
        <v>0</v>
      </c>
      <c r="B32" t="s">
        <v>45</v>
      </c>
      <c r="C32">
        <v>1</v>
      </c>
      <c r="F32">
        <v>1</v>
      </c>
    </row>
    <row r="33" spans="1:6" x14ac:dyDescent="0.35">
      <c r="A33">
        <v>0</v>
      </c>
      <c r="B33" t="s">
        <v>45</v>
      </c>
      <c r="C33">
        <v>1</v>
      </c>
      <c r="F33">
        <v>1</v>
      </c>
    </row>
    <row r="34" spans="1:6" x14ac:dyDescent="0.35">
      <c r="A34">
        <v>0</v>
      </c>
      <c r="B34" t="s">
        <v>43</v>
      </c>
      <c r="C34">
        <v>0</v>
      </c>
      <c r="E34">
        <v>1</v>
      </c>
    </row>
    <row r="35" spans="1:6" x14ac:dyDescent="0.35">
      <c r="A35">
        <v>0</v>
      </c>
      <c r="B35" t="s">
        <v>43</v>
      </c>
      <c r="C35">
        <v>0</v>
      </c>
      <c r="E35">
        <v>1</v>
      </c>
    </row>
    <row r="36" spans="1:6" x14ac:dyDescent="0.35">
      <c r="A36">
        <v>0</v>
      </c>
      <c r="B36" t="s">
        <v>43</v>
      </c>
      <c r="C36">
        <v>0</v>
      </c>
      <c r="E36">
        <v>1</v>
      </c>
    </row>
    <row r="37" spans="1:6" x14ac:dyDescent="0.35">
      <c r="A37">
        <v>0</v>
      </c>
      <c r="B37" t="s">
        <v>45</v>
      </c>
      <c r="C37">
        <v>1</v>
      </c>
      <c r="F37">
        <v>1</v>
      </c>
    </row>
    <row r="38" spans="1:6" x14ac:dyDescent="0.35">
      <c r="A38">
        <v>0</v>
      </c>
      <c r="B38" t="s">
        <v>45</v>
      </c>
      <c r="C38">
        <v>1</v>
      </c>
      <c r="F38">
        <v>1</v>
      </c>
    </row>
    <row r="39" spans="1:6" x14ac:dyDescent="0.35">
      <c r="A39">
        <v>0</v>
      </c>
      <c r="B39" t="s">
        <v>45</v>
      </c>
      <c r="C39">
        <v>1</v>
      </c>
      <c r="F39">
        <v>1</v>
      </c>
    </row>
    <row r="40" spans="1:6" x14ac:dyDescent="0.35">
      <c r="A40">
        <v>0</v>
      </c>
      <c r="B40" t="s">
        <v>45</v>
      </c>
      <c r="C40">
        <v>1</v>
      </c>
      <c r="F40">
        <v>1</v>
      </c>
    </row>
    <row r="41" spans="1:6" x14ac:dyDescent="0.35">
      <c r="A41">
        <v>0</v>
      </c>
      <c r="B41" t="s">
        <v>43</v>
      </c>
      <c r="C41">
        <v>0</v>
      </c>
      <c r="D41" s="1"/>
      <c r="E41">
        <v>1</v>
      </c>
    </row>
    <row r="42" spans="1:6" x14ac:dyDescent="0.35">
      <c r="A42">
        <v>0</v>
      </c>
      <c r="B42" t="s">
        <v>45</v>
      </c>
      <c r="C42">
        <v>1</v>
      </c>
      <c r="F42">
        <v>1</v>
      </c>
    </row>
    <row r="43" spans="1:6" x14ac:dyDescent="0.35">
      <c r="A43">
        <v>0</v>
      </c>
      <c r="B43" t="s">
        <v>45</v>
      </c>
      <c r="C43">
        <v>1</v>
      </c>
      <c r="F43">
        <v>1</v>
      </c>
    </row>
    <row r="44" spans="1:6" x14ac:dyDescent="0.35">
      <c r="A44">
        <v>0</v>
      </c>
      <c r="B44" t="s">
        <v>45</v>
      </c>
      <c r="C44">
        <v>1</v>
      </c>
      <c r="F44">
        <v>1</v>
      </c>
    </row>
    <row r="45" spans="1:6" x14ac:dyDescent="0.35">
      <c r="A45">
        <v>0</v>
      </c>
      <c r="B45" t="s">
        <v>45</v>
      </c>
      <c r="C45">
        <v>1</v>
      </c>
      <c r="F45">
        <v>1</v>
      </c>
    </row>
    <row r="46" spans="1:6" x14ac:dyDescent="0.35">
      <c r="A46">
        <v>0</v>
      </c>
      <c r="B46" t="s">
        <v>43</v>
      </c>
      <c r="C46">
        <v>0</v>
      </c>
      <c r="E46">
        <v>1</v>
      </c>
    </row>
    <row r="47" spans="1:6" x14ac:dyDescent="0.35">
      <c r="A47">
        <v>0</v>
      </c>
      <c r="B47" t="s">
        <v>45</v>
      </c>
      <c r="C47">
        <v>1</v>
      </c>
      <c r="F47">
        <v>1</v>
      </c>
    </row>
    <row r="48" spans="1:6" x14ac:dyDescent="0.35">
      <c r="A48">
        <v>0</v>
      </c>
      <c r="B48" t="s">
        <v>43</v>
      </c>
      <c r="C48">
        <v>0</v>
      </c>
      <c r="E48">
        <v>1</v>
      </c>
    </row>
    <row r="49" spans="1:6" x14ac:dyDescent="0.35">
      <c r="A49">
        <v>0</v>
      </c>
      <c r="B49" t="s">
        <v>45</v>
      </c>
      <c r="C49">
        <v>1</v>
      </c>
      <c r="F49">
        <v>1</v>
      </c>
    </row>
    <row r="50" spans="1:6" x14ac:dyDescent="0.35">
      <c r="A50">
        <v>0</v>
      </c>
      <c r="B50" t="s">
        <v>43</v>
      </c>
      <c r="C50">
        <v>0</v>
      </c>
      <c r="E50">
        <v>1</v>
      </c>
    </row>
    <row r="51" spans="1:6" x14ac:dyDescent="0.35">
      <c r="A51">
        <v>0</v>
      </c>
      <c r="B51" t="s">
        <v>45</v>
      </c>
      <c r="C51">
        <v>1</v>
      </c>
      <c r="F51">
        <v>1</v>
      </c>
    </row>
    <row r="52" spans="1:6" x14ac:dyDescent="0.35">
      <c r="A52">
        <v>0</v>
      </c>
      <c r="B52" t="s">
        <v>43</v>
      </c>
      <c r="C52">
        <v>0</v>
      </c>
      <c r="E52">
        <v>1</v>
      </c>
    </row>
    <row r="53" spans="1:6" x14ac:dyDescent="0.35">
      <c r="A53">
        <v>0</v>
      </c>
      <c r="B53" t="s">
        <v>45</v>
      </c>
      <c r="C53">
        <v>1</v>
      </c>
      <c r="F53">
        <v>1</v>
      </c>
    </row>
    <row r="54" spans="1:6" x14ac:dyDescent="0.35">
      <c r="A54">
        <v>0</v>
      </c>
      <c r="B54" t="s">
        <v>45</v>
      </c>
      <c r="C54">
        <v>1</v>
      </c>
      <c r="F54">
        <v>1</v>
      </c>
    </row>
    <row r="55" spans="1:6" x14ac:dyDescent="0.35">
      <c r="A55">
        <v>0</v>
      </c>
      <c r="B55" t="s">
        <v>43</v>
      </c>
      <c r="C55">
        <v>0</v>
      </c>
      <c r="E55">
        <v>1</v>
      </c>
    </row>
    <row r="56" spans="1:6" x14ac:dyDescent="0.35">
      <c r="A56">
        <v>0</v>
      </c>
      <c r="B56" t="s">
        <v>43</v>
      </c>
      <c r="C56">
        <v>0</v>
      </c>
      <c r="E56">
        <v>1</v>
      </c>
    </row>
    <row r="57" spans="1:6" x14ac:dyDescent="0.35">
      <c r="A57">
        <v>0</v>
      </c>
      <c r="B57" t="s">
        <v>43</v>
      </c>
      <c r="C57">
        <v>0</v>
      </c>
      <c r="E57">
        <v>1</v>
      </c>
    </row>
    <row r="58" spans="1:6" x14ac:dyDescent="0.35">
      <c r="A58">
        <v>0</v>
      </c>
      <c r="B58" t="s">
        <v>43</v>
      </c>
      <c r="C58">
        <v>0</v>
      </c>
      <c r="E58">
        <v>1</v>
      </c>
    </row>
    <row r="59" spans="1:6" x14ac:dyDescent="0.35">
      <c r="A59">
        <v>0</v>
      </c>
      <c r="B59" t="s">
        <v>43</v>
      </c>
      <c r="C59">
        <v>0</v>
      </c>
      <c r="E59">
        <v>1</v>
      </c>
    </row>
    <row r="60" spans="1:6" x14ac:dyDescent="0.35">
      <c r="A60">
        <v>0</v>
      </c>
      <c r="B60" t="s">
        <v>43</v>
      </c>
      <c r="C60">
        <v>0</v>
      </c>
      <c r="E60">
        <v>1</v>
      </c>
    </row>
    <row r="61" spans="1:6" x14ac:dyDescent="0.35">
      <c r="A61">
        <v>0</v>
      </c>
      <c r="B61" t="s">
        <v>45</v>
      </c>
      <c r="C61">
        <v>1</v>
      </c>
      <c r="F61">
        <v>1</v>
      </c>
    </row>
    <row r="62" spans="1:6" x14ac:dyDescent="0.35">
      <c r="A62">
        <v>0</v>
      </c>
      <c r="B62" t="s">
        <v>45</v>
      </c>
      <c r="C62">
        <v>1</v>
      </c>
      <c r="F62">
        <v>1</v>
      </c>
    </row>
    <row r="63" spans="1:6" x14ac:dyDescent="0.35">
      <c r="A63">
        <v>0</v>
      </c>
      <c r="B63" t="s">
        <v>45</v>
      </c>
      <c r="C63">
        <v>1</v>
      </c>
      <c r="F63">
        <v>1</v>
      </c>
    </row>
    <row r="64" spans="1:6" x14ac:dyDescent="0.35">
      <c r="A64">
        <v>0</v>
      </c>
      <c r="B64" t="s">
        <v>43</v>
      </c>
      <c r="C64">
        <v>0</v>
      </c>
      <c r="E64">
        <v>1</v>
      </c>
    </row>
    <row r="65" spans="1:6" x14ac:dyDescent="0.35">
      <c r="A65">
        <v>0</v>
      </c>
      <c r="B65" t="s">
        <v>43</v>
      </c>
      <c r="C65">
        <v>0</v>
      </c>
      <c r="E65">
        <v>1</v>
      </c>
    </row>
    <row r="66" spans="1:6" x14ac:dyDescent="0.35">
      <c r="A66">
        <v>0</v>
      </c>
      <c r="B66" t="s">
        <v>43</v>
      </c>
      <c r="C66">
        <v>0</v>
      </c>
      <c r="E66">
        <v>1</v>
      </c>
    </row>
    <row r="67" spans="1:6" x14ac:dyDescent="0.35">
      <c r="A67">
        <v>0</v>
      </c>
      <c r="B67" t="s">
        <v>43</v>
      </c>
      <c r="C67">
        <v>0</v>
      </c>
      <c r="E67">
        <v>1</v>
      </c>
    </row>
    <row r="68" spans="1:6" x14ac:dyDescent="0.35">
      <c r="A68">
        <v>0</v>
      </c>
      <c r="B68" t="s">
        <v>43</v>
      </c>
      <c r="C68">
        <v>0</v>
      </c>
      <c r="E68">
        <v>1</v>
      </c>
    </row>
    <row r="69" spans="1:6" x14ac:dyDescent="0.35">
      <c r="A69">
        <v>0</v>
      </c>
      <c r="B69" t="s">
        <v>43</v>
      </c>
      <c r="C69">
        <v>0</v>
      </c>
      <c r="E69">
        <v>1</v>
      </c>
    </row>
    <row r="70" spans="1:6" x14ac:dyDescent="0.35">
      <c r="A70">
        <v>0</v>
      </c>
      <c r="B70" t="s">
        <v>43</v>
      </c>
      <c r="C70">
        <v>0</v>
      </c>
      <c r="E70">
        <v>1</v>
      </c>
    </row>
    <row r="71" spans="1:6" x14ac:dyDescent="0.35">
      <c r="A71">
        <v>0</v>
      </c>
      <c r="B71" t="s">
        <v>45</v>
      </c>
      <c r="C71">
        <v>1</v>
      </c>
      <c r="F71">
        <v>1</v>
      </c>
    </row>
    <row r="72" spans="1:6" x14ac:dyDescent="0.35">
      <c r="A72">
        <v>0</v>
      </c>
      <c r="B72" t="s">
        <v>45</v>
      </c>
      <c r="C72">
        <v>1</v>
      </c>
      <c r="F72">
        <v>1</v>
      </c>
    </row>
    <row r="73" spans="1:6" x14ac:dyDescent="0.35">
      <c r="A73">
        <v>0</v>
      </c>
      <c r="B73" t="s">
        <v>45</v>
      </c>
      <c r="C73">
        <v>1</v>
      </c>
      <c r="F73">
        <v>1</v>
      </c>
    </row>
    <row r="74" spans="1:6" x14ac:dyDescent="0.35">
      <c r="A74">
        <v>0</v>
      </c>
      <c r="B74" t="s">
        <v>43</v>
      </c>
      <c r="C74">
        <v>0</v>
      </c>
      <c r="E74">
        <v>1</v>
      </c>
    </row>
    <row r="75" spans="1:6" x14ac:dyDescent="0.35">
      <c r="A75">
        <v>0</v>
      </c>
      <c r="B75" t="s">
        <v>45</v>
      </c>
      <c r="C75">
        <v>1</v>
      </c>
      <c r="F75">
        <v>1</v>
      </c>
    </row>
    <row r="76" spans="1:6" x14ac:dyDescent="0.35">
      <c r="A76">
        <v>0</v>
      </c>
      <c r="B76" t="s">
        <v>43</v>
      </c>
      <c r="C76">
        <v>0</v>
      </c>
      <c r="E76">
        <v>1</v>
      </c>
    </row>
    <row r="77" spans="1:6" x14ac:dyDescent="0.35">
      <c r="A77">
        <v>0</v>
      </c>
      <c r="B77" t="s">
        <v>43</v>
      </c>
      <c r="C77">
        <v>0</v>
      </c>
      <c r="E77">
        <v>1</v>
      </c>
    </row>
    <row r="78" spans="1:6" x14ac:dyDescent="0.35">
      <c r="A78">
        <v>0</v>
      </c>
      <c r="B78" t="s">
        <v>45</v>
      </c>
      <c r="C78">
        <v>1</v>
      </c>
      <c r="F78">
        <v>1</v>
      </c>
    </row>
    <row r="79" spans="1:6" x14ac:dyDescent="0.35">
      <c r="E79" t="s">
        <v>63</v>
      </c>
      <c r="F79" t="s">
        <v>64</v>
      </c>
    </row>
    <row r="80" spans="1:6" x14ac:dyDescent="0.35">
      <c r="A80">
        <v>1</v>
      </c>
      <c r="B80" t="s">
        <v>45</v>
      </c>
      <c r="C80">
        <v>0</v>
      </c>
      <c r="D80" s="1" t="s">
        <v>55</v>
      </c>
      <c r="F80">
        <v>1</v>
      </c>
    </row>
    <row r="81" spans="1:7" x14ac:dyDescent="0.35">
      <c r="A81">
        <v>1</v>
      </c>
      <c r="B81" t="s">
        <v>43</v>
      </c>
      <c r="C81">
        <v>1</v>
      </c>
      <c r="E81">
        <v>1</v>
      </c>
    </row>
    <row r="82" spans="1:7" x14ac:dyDescent="0.35">
      <c r="A82">
        <v>2</v>
      </c>
      <c r="B82" t="s">
        <v>43</v>
      </c>
      <c r="C82">
        <v>1</v>
      </c>
      <c r="E82">
        <v>1</v>
      </c>
    </row>
    <row r="83" spans="1:7" x14ac:dyDescent="0.35">
      <c r="A83">
        <v>2</v>
      </c>
      <c r="B83" t="s">
        <v>43</v>
      </c>
      <c r="C83">
        <v>1</v>
      </c>
      <c r="E83">
        <v>1</v>
      </c>
    </row>
    <row r="84" spans="1:7" x14ac:dyDescent="0.35">
      <c r="A84">
        <v>2</v>
      </c>
      <c r="B84" t="s">
        <v>45</v>
      </c>
      <c r="C84">
        <v>0</v>
      </c>
      <c r="F84">
        <v>1</v>
      </c>
    </row>
    <row r="85" spans="1:7" x14ac:dyDescent="0.35">
      <c r="A85">
        <v>2</v>
      </c>
      <c r="B85" t="s">
        <v>43</v>
      </c>
      <c r="C85">
        <v>1</v>
      </c>
      <c r="E85">
        <v>1</v>
      </c>
    </row>
    <row r="86" spans="1:7" x14ac:dyDescent="0.35">
      <c r="A86">
        <v>2</v>
      </c>
      <c r="B86" t="s">
        <v>43</v>
      </c>
      <c r="C86">
        <v>1</v>
      </c>
      <c r="E86">
        <v>1</v>
      </c>
    </row>
    <row r="87" spans="1:7" x14ac:dyDescent="0.35">
      <c r="A87">
        <v>2</v>
      </c>
      <c r="B87" t="s">
        <v>43</v>
      </c>
      <c r="C87">
        <v>1</v>
      </c>
      <c r="E87">
        <v>1</v>
      </c>
    </row>
    <row r="88" spans="1:7" x14ac:dyDescent="0.35">
      <c r="A88">
        <v>2</v>
      </c>
      <c r="B88" t="s">
        <v>45</v>
      </c>
      <c r="C88">
        <v>0</v>
      </c>
      <c r="F88">
        <v>1</v>
      </c>
    </row>
    <row r="89" spans="1:7" x14ac:dyDescent="0.35">
      <c r="A89">
        <v>2</v>
      </c>
      <c r="B89" t="s">
        <v>45</v>
      </c>
      <c r="C89">
        <v>0</v>
      </c>
      <c r="F89">
        <v>1</v>
      </c>
      <c r="G89">
        <v>1</v>
      </c>
    </row>
    <row r="90" spans="1:7" x14ac:dyDescent="0.35">
      <c r="A90">
        <v>3</v>
      </c>
      <c r="B90" t="s">
        <v>43</v>
      </c>
      <c r="C90">
        <v>1</v>
      </c>
      <c r="E90">
        <v>1</v>
      </c>
    </row>
    <row r="91" spans="1:7" x14ac:dyDescent="0.35">
      <c r="A91">
        <v>3</v>
      </c>
      <c r="B91" t="s">
        <v>43</v>
      </c>
      <c r="C91">
        <v>1</v>
      </c>
      <c r="E91">
        <v>1</v>
      </c>
    </row>
    <row r="92" spans="1:7" x14ac:dyDescent="0.35">
      <c r="A92">
        <v>3</v>
      </c>
      <c r="B92" t="s">
        <v>43</v>
      </c>
      <c r="C92">
        <v>1</v>
      </c>
      <c r="E92">
        <v>1</v>
      </c>
    </row>
    <row r="93" spans="1:7" x14ac:dyDescent="0.35">
      <c r="A93">
        <v>3</v>
      </c>
      <c r="B93" t="s">
        <v>45</v>
      </c>
      <c r="C93">
        <v>0</v>
      </c>
      <c r="F93">
        <v>1</v>
      </c>
    </row>
    <row r="94" spans="1:7" x14ac:dyDescent="0.35">
      <c r="A94">
        <v>3</v>
      </c>
      <c r="B94" t="s">
        <v>45</v>
      </c>
      <c r="C94">
        <v>0</v>
      </c>
      <c r="F94">
        <v>1</v>
      </c>
    </row>
    <row r="95" spans="1:7" x14ac:dyDescent="0.35">
      <c r="A95">
        <v>3</v>
      </c>
      <c r="B95" t="s">
        <v>43</v>
      </c>
      <c r="C95">
        <v>1</v>
      </c>
      <c r="E95">
        <v>1</v>
      </c>
    </row>
    <row r="96" spans="1:7" x14ac:dyDescent="0.35">
      <c r="A96">
        <v>3</v>
      </c>
      <c r="B96" t="s">
        <v>43</v>
      </c>
      <c r="C96">
        <v>1</v>
      </c>
      <c r="E96">
        <v>1</v>
      </c>
    </row>
    <row r="97" spans="1:6" x14ac:dyDescent="0.35">
      <c r="A97">
        <v>3</v>
      </c>
      <c r="B97" t="s">
        <v>43</v>
      </c>
      <c r="C97">
        <v>1</v>
      </c>
      <c r="E97">
        <v>1</v>
      </c>
    </row>
    <row r="98" spans="1:6" x14ac:dyDescent="0.35">
      <c r="A98">
        <v>3</v>
      </c>
      <c r="B98" t="s">
        <v>43</v>
      </c>
      <c r="C98">
        <v>1</v>
      </c>
      <c r="E98">
        <v>1</v>
      </c>
    </row>
    <row r="99" spans="1:6" x14ac:dyDescent="0.35">
      <c r="A99">
        <v>4</v>
      </c>
      <c r="B99" t="s">
        <v>43</v>
      </c>
      <c r="C99">
        <v>1</v>
      </c>
      <c r="E99">
        <v>1</v>
      </c>
    </row>
    <row r="100" spans="1:6" x14ac:dyDescent="0.35">
      <c r="A100">
        <v>4</v>
      </c>
      <c r="B100" t="s">
        <v>43</v>
      </c>
      <c r="C100">
        <v>1</v>
      </c>
      <c r="E100">
        <v>1</v>
      </c>
    </row>
    <row r="101" spans="1:6" x14ac:dyDescent="0.35">
      <c r="A101">
        <v>4</v>
      </c>
      <c r="B101" t="s">
        <v>43</v>
      </c>
      <c r="C101">
        <v>1</v>
      </c>
      <c r="E101">
        <v>1</v>
      </c>
    </row>
    <row r="102" spans="1:6" x14ac:dyDescent="0.35">
      <c r="A102">
        <v>4</v>
      </c>
      <c r="B102" t="s">
        <v>43</v>
      </c>
      <c r="C102">
        <v>1</v>
      </c>
      <c r="E102">
        <v>1</v>
      </c>
    </row>
    <row r="103" spans="1:6" x14ac:dyDescent="0.35">
      <c r="A103">
        <v>4</v>
      </c>
      <c r="B103" t="s">
        <v>45</v>
      </c>
      <c r="C103">
        <v>0</v>
      </c>
      <c r="F103">
        <v>1</v>
      </c>
    </row>
  </sheetData>
  <sortState xmlns:xlrd2="http://schemas.microsoft.com/office/spreadsheetml/2017/richdata2" ref="A2:C104">
    <sortCondition ref="A1:A104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6BD3-FA6C-42D5-AD3C-2455CCA42FC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P1_Orientation Discrimination_2</vt:lpstr>
      <vt:lpstr>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2025-09-09T06:01:25Z</dcterms:created>
  <dcterms:modified xsi:type="dcterms:W3CDTF">2025-09-10T18:40:00Z</dcterms:modified>
</cp:coreProperties>
</file>