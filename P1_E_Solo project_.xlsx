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ik\Lab in Psychology\Psychopy Experiments\Solo Project_Sternberg task\retention\data\"/>
    </mc:Choice>
  </mc:AlternateContent>
  <xr:revisionPtr revIDLastSave="0" documentId="13_ncr:9_{F47DABE8-67EC-411D-AC30-876BABD47B74}" xr6:coauthVersionLast="47" xr6:coauthVersionMax="47" xr10:uidLastSave="{00000000-0000-0000-0000-000000000000}"/>
  <bookViews>
    <workbookView xWindow="-110" yWindow="-110" windowWidth="19420" windowHeight="10300" activeTab="1" xr2:uid="{A497F4E8-5873-47A5-9FB2-C3909F6BCE69}"/>
  </bookViews>
  <sheets>
    <sheet name="P1_E_Solo project_2025-11-16_2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7" i="2" l="1"/>
  <c r="L6" i="2"/>
  <c r="I7" i="2"/>
  <c r="I6" i="2"/>
  <c r="J7" i="2"/>
  <c r="J6" i="2"/>
</calcChain>
</file>

<file path=xl/sharedStrings.xml><?xml version="1.0" encoding="utf-8"?>
<sst xmlns="http://schemas.openxmlformats.org/spreadsheetml/2006/main" count="1871" uniqueCount="62">
  <si>
    <t>memory_set</t>
  </si>
  <si>
    <t>corr_ans</t>
  </si>
  <si>
    <t>probe_digit</t>
  </si>
  <si>
    <t>thisN</t>
  </si>
  <si>
    <t>thisTrialN</t>
  </si>
  <si>
    <t>thisRepN</t>
  </si>
  <si>
    <t>key_resp_probe.keys</t>
  </si>
  <si>
    <t>key_resp_probe.rt</t>
  </si>
  <si>
    <t>key_resp_probe.duration</t>
  </si>
  <si>
    <t>trials.thisRepN</t>
  </si>
  <si>
    <t>trials.thisTrialN</t>
  </si>
  <si>
    <t>trials.thisN</t>
  </si>
  <si>
    <t>trials.thisIndex</t>
  </si>
  <si>
    <t>thisRow.t</t>
  </si>
  <si>
    <t>notes</t>
  </si>
  <si>
    <t>Welcome_Screen.started</t>
  </si>
  <si>
    <t>text.started</t>
  </si>
  <si>
    <t>key_resp.started</t>
  </si>
  <si>
    <t>Welcome_Screen.stopped</t>
  </si>
  <si>
    <t>key_resp.keys</t>
  </si>
  <si>
    <t>key_resp.rt</t>
  </si>
  <si>
    <t>key_resp.duration</t>
  </si>
  <si>
    <t>distractor_present</t>
  </si>
  <si>
    <t>num_distr</t>
  </si>
  <si>
    <t>trial.started</t>
  </si>
  <si>
    <t>polygon.started</t>
  </si>
  <si>
    <t>probe_text.started</t>
  </si>
  <si>
    <t>polygon.stopped</t>
  </si>
  <si>
    <t>probe_text.stopped</t>
  </si>
  <si>
    <t>isi.started</t>
  </si>
  <si>
    <t>isi.stopped</t>
  </si>
  <si>
    <t>response_text.started</t>
  </si>
  <si>
    <t>key_resp_probe.started</t>
  </si>
  <si>
    <t>trial.stopped</t>
  </si>
  <si>
    <t>trials.key_resp_probe.keys</t>
  </si>
  <si>
    <t>trials.key_resp_probe.rt</t>
  </si>
  <si>
    <t>trials.key_resp_probe.duration</t>
  </si>
  <si>
    <t>Goodbye_Screen.started</t>
  </si>
  <si>
    <t>text_2.started</t>
  </si>
  <si>
    <t>Goodbye_Screen.stopped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</si>
  <si>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</si>
  <si>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</si>
  <si>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</si>
  <si>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</si>
  <si>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</si>
  <si>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</si>
  <si>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</si>
  <si>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</si>
  <si>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</si>
  <si>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</si>
  <si>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P1_E</t>
  </si>
  <si>
    <t>2025-11-16_22h06.33.997</t>
  </si>
  <si>
    <t>Solo project</t>
  </si>
  <si>
    <t>2025.1.1</t>
  </si>
  <si>
    <t>2025-11-16 22h06.47.957251 +0530</t>
  </si>
  <si>
    <t>yes</t>
  </si>
  <si>
    <t>y</t>
  </si>
  <si>
    <t>no</t>
  </si>
  <si>
    <t>n</t>
  </si>
  <si>
    <t>Distractor present</t>
  </si>
  <si>
    <t>Distractor absent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</si>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</sst>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8818-E3D4-4117-9859-A70DA1CF0D42}">
  <dimension ref="A1:AV153"/>
  <sheetViews>
    <sheetView workbookViewId="0">
      <selection activeCellId="5" sqref="H1:H1048576 W1:W1048576 G1:G1048576 C1:C1048576 B1:B1048576 A1:A1048576"/>
    </sheetView>
  </sheetViews>
  <sheetFormatPr defaultRowHeight="14.5" x14ac:dyDescent="0.35"/>
  <cols>
    <col min="7" max="7" width="17.7265625" bestFit="1" customWidth="1"/>
    <col min="8" max="8" width="15.26953125" bestFit="1" customWidth="1"/>
    <col min="9" max="9" width="20.81640625" bestFit="1" customWidth="1"/>
    <col min="23" max="23" width="15.81640625" bestFit="1" customWidth="1"/>
    <col min="24" max="24" width="8.8164062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P2">
        <v>3.3080000000040798E-3</v>
      </c>
      <c r="Q2">
        <v>1.1336099999994E-2</v>
      </c>
      <c r="R2">
        <v>1.1336099999994E-2</v>
      </c>
      <c r="S2">
        <v>6.6005754999999899</v>
      </c>
      <c r="T2" t="s">
        <v>48</v>
      </c>
      <c r="U2">
        <v>6.5709752000000199</v>
      </c>
      <c r="V2" t="s">
        <v>49</v>
      </c>
      <c r="AO2" t="s">
        <v>50</v>
      </c>
      <c r="AP2">
        <v>1</v>
      </c>
      <c r="AQ2" t="s">
        <v>51</v>
      </c>
      <c r="AR2" t="s">
        <v>52</v>
      </c>
      <c r="AT2" t="s">
        <v>53</v>
      </c>
      <c r="AU2">
        <v>60.047942277100802</v>
      </c>
      <c r="AV2" t="s">
        <v>54</v>
      </c>
    </row>
    <row r="3" spans="1:48" x14ac:dyDescent="0.35">
      <c r="A3">
        <v>810813</v>
      </c>
      <c r="B3" t="s">
        <v>55</v>
      </c>
      <c r="C3">
        <v>8</v>
      </c>
      <c r="D3">
        <v>0</v>
      </c>
      <c r="E3">
        <v>0</v>
      </c>
      <c r="F3">
        <v>0</v>
      </c>
      <c r="G3" t="s">
        <v>56</v>
      </c>
      <c r="H3">
        <v>1.3412127999999901</v>
      </c>
      <c r="I3" t="s">
        <v>49</v>
      </c>
      <c r="J3">
        <v>0</v>
      </c>
      <c r="K3">
        <v>0</v>
      </c>
      <c r="L3">
        <v>0</v>
      </c>
      <c r="M3">
        <v>64</v>
      </c>
      <c r="N3">
        <v>6.7952136999999704</v>
      </c>
      <c r="W3">
        <v>1</v>
      </c>
      <c r="X3">
        <v>10</v>
      </c>
      <c r="Y3">
        <v>6.7870487999999796</v>
      </c>
      <c r="Z3">
        <v>6.7952136999999704</v>
      </c>
      <c r="AA3">
        <v>7.5998174999999701</v>
      </c>
      <c r="AB3">
        <v>7.8004358999999601</v>
      </c>
      <c r="AC3">
        <v>8.5999305999999898</v>
      </c>
      <c r="AD3">
        <v>8.5999305999999898</v>
      </c>
      <c r="AE3">
        <v>10.100216100000001</v>
      </c>
      <c r="AF3">
        <v>10.100216100000001</v>
      </c>
      <c r="AG3">
        <v>10.100216100000001</v>
      </c>
      <c r="AH3">
        <v>11.4506820999999</v>
      </c>
      <c r="AI3" t="s">
        <v>56</v>
      </c>
      <c r="AJ3">
        <v>1.3412127999999901</v>
      </c>
      <c r="AK3" t="s">
        <v>49</v>
      </c>
      <c r="AO3" t="s">
        <v>50</v>
      </c>
      <c r="AP3">
        <v>1</v>
      </c>
      <c r="AQ3" t="s">
        <v>51</v>
      </c>
      <c r="AR3" t="s">
        <v>52</v>
      </c>
      <c r="AT3" t="s">
        <v>53</v>
      </c>
      <c r="AU3">
        <v>60.047942277100802</v>
      </c>
      <c r="AV3" t="s">
        <v>54</v>
      </c>
    </row>
    <row r="4" spans="1:48" x14ac:dyDescent="0.35">
      <c r="A4">
        <v>160262</v>
      </c>
      <c r="B4" t="s">
        <v>57</v>
      </c>
      <c r="C4">
        <v>3</v>
      </c>
      <c r="D4">
        <v>1</v>
      </c>
      <c r="E4">
        <v>1</v>
      </c>
      <c r="F4">
        <v>0</v>
      </c>
      <c r="G4" t="s">
        <v>58</v>
      </c>
      <c r="H4">
        <v>1.1985999999999899</v>
      </c>
      <c r="I4" t="s">
        <v>49</v>
      </c>
      <c r="J4">
        <v>0</v>
      </c>
      <c r="K4">
        <v>1</v>
      </c>
      <c r="L4">
        <v>1</v>
      </c>
      <c r="M4">
        <v>112</v>
      </c>
      <c r="N4">
        <v>11.6904088999999</v>
      </c>
      <c r="W4">
        <v>1</v>
      </c>
      <c r="X4">
        <v>10</v>
      </c>
      <c r="Y4">
        <v>11.6843121999999</v>
      </c>
      <c r="Z4">
        <v>11.6904088999999</v>
      </c>
      <c r="AA4">
        <v>12.4665751999999</v>
      </c>
      <c r="AB4">
        <v>12.700114999999901</v>
      </c>
      <c r="AC4">
        <v>13.466806499999899</v>
      </c>
      <c r="AD4">
        <v>13.466806499999899</v>
      </c>
      <c r="AE4">
        <v>14.9666522999999</v>
      </c>
      <c r="AF4">
        <v>14.9666522999999</v>
      </c>
      <c r="AG4">
        <v>14.9666522999999</v>
      </c>
      <c r="AH4">
        <v>16.167273699999999</v>
      </c>
      <c r="AI4" t="s">
        <v>58</v>
      </c>
      <c r="AJ4">
        <v>1.1985999999999899</v>
      </c>
      <c r="AK4" t="s">
        <v>49</v>
      </c>
      <c r="AO4" t="s">
        <v>50</v>
      </c>
      <c r="AP4">
        <v>1</v>
      </c>
      <c r="AQ4" t="s">
        <v>51</v>
      </c>
      <c r="AR4" t="s">
        <v>52</v>
      </c>
      <c r="AT4" t="s">
        <v>53</v>
      </c>
      <c r="AU4">
        <v>60.047942277100802</v>
      </c>
      <c r="AV4" t="s">
        <v>54</v>
      </c>
    </row>
    <row r="5" spans="1:48" x14ac:dyDescent="0.35">
      <c r="A5">
        <v>484574</v>
      </c>
      <c r="B5" t="s">
        <v>55</v>
      </c>
      <c r="C5">
        <v>7</v>
      </c>
      <c r="D5">
        <v>2</v>
      </c>
      <c r="E5">
        <v>2</v>
      </c>
      <c r="F5">
        <v>0</v>
      </c>
      <c r="G5" t="s">
        <v>58</v>
      </c>
      <c r="H5">
        <v>2.6485808999999501</v>
      </c>
      <c r="I5" t="s">
        <v>49</v>
      </c>
      <c r="J5">
        <v>0</v>
      </c>
      <c r="K5">
        <v>2</v>
      </c>
      <c r="L5">
        <v>2</v>
      </c>
      <c r="M5">
        <v>46</v>
      </c>
      <c r="N5">
        <v>16.198821899999899</v>
      </c>
      <c r="W5">
        <v>0</v>
      </c>
      <c r="X5">
        <v>0</v>
      </c>
      <c r="Y5">
        <v>16.195690599999899</v>
      </c>
      <c r="Z5">
        <v>16.198821899999899</v>
      </c>
      <c r="AA5">
        <v>17.183461099999899</v>
      </c>
      <c r="AB5">
        <v>17.199894400000002</v>
      </c>
      <c r="AC5">
        <v>18.183059299999901</v>
      </c>
      <c r="AD5">
        <v>18.183059299999901</v>
      </c>
      <c r="AE5">
        <v>19.683640700000002</v>
      </c>
      <c r="AF5">
        <v>19.683640700000002</v>
      </c>
      <c r="AG5">
        <v>19.683640700000002</v>
      </c>
      <c r="AH5">
        <v>22.3340440999999</v>
      </c>
      <c r="AI5" t="s">
        <v>58</v>
      </c>
      <c r="AJ5">
        <v>2.6485808999999501</v>
      </c>
      <c r="AK5" t="s">
        <v>49</v>
      </c>
      <c r="AO5" t="s">
        <v>50</v>
      </c>
      <c r="AP5">
        <v>1</v>
      </c>
      <c r="AQ5" t="s">
        <v>51</v>
      </c>
      <c r="AR5" t="s">
        <v>52</v>
      </c>
      <c r="AT5" t="s">
        <v>53</v>
      </c>
      <c r="AU5">
        <v>60.047942277100802</v>
      </c>
      <c r="AV5" t="s">
        <v>54</v>
      </c>
    </row>
    <row r="6" spans="1:48" x14ac:dyDescent="0.35">
      <c r="A6">
        <v>222073</v>
      </c>
      <c r="B6" t="s">
        <v>57</v>
      </c>
      <c r="C6">
        <v>8</v>
      </c>
      <c r="D6">
        <v>3</v>
      </c>
      <c r="E6">
        <v>3</v>
      </c>
      <c r="F6">
        <v>0</v>
      </c>
      <c r="G6" t="s">
        <v>58</v>
      </c>
      <c r="H6">
        <v>1.0280557000000301</v>
      </c>
      <c r="I6" t="s">
        <v>49</v>
      </c>
      <c r="J6">
        <v>0</v>
      </c>
      <c r="K6">
        <v>3</v>
      </c>
      <c r="L6">
        <v>3</v>
      </c>
      <c r="M6">
        <v>62</v>
      </c>
      <c r="N6">
        <v>22.419599299999899</v>
      </c>
      <c r="W6">
        <v>1</v>
      </c>
      <c r="X6">
        <v>10</v>
      </c>
      <c r="Y6">
        <v>22.4162756999999</v>
      </c>
      <c r="Z6">
        <v>22.419599299999899</v>
      </c>
      <c r="AA6">
        <v>23.349627300000002</v>
      </c>
      <c r="AB6">
        <v>23.433288099999899</v>
      </c>
      <c r="AC6">
        <v>24.349969199999901</v>
      </c>
      <c r="AD6">
        <v>24.333309399999902</v>
      </c>
      <c r="AE6">
        <v>25.8330359999999</v>
      </c>
      <c r="AF6">
        <v>25.849691699999902</v>
      </c>
      <c r="AG6">
        <v>25.849691699999902</v>
      </c>
      <c r="AH6">
        <v>26.884214100000001</v>
      </c>
      <c r="AI6" t="s">
        <v>58</v>
      </c>
      <c r="AJ6">
        <v>1.0280557000000301</v>
      </c>
      <c r="AK6" t="s">
        <v>49</v>
      </c>
      <c r="AO6" t="s">
        <v>50</v>
      </c>
      <c r="AP6">
        <v>1</v>
      </c>
      <c r="AQ6" t="s">
        <v>51</v>
      </c>
      <c r="AR6" t="s">
        <v>52</v>
      </c>
      <c r="AT6" t="s">
        <v>53</v>
      </c>
      <c r="AU6">
        <v>60.047942277100802</v>
      </c>
      <c r="AV6" t="s">
        <v>54</v>
      </c>
    </row>
    <row r="7" spans="1:48" x14ac:dyDescent="0.35">
      <c r="A7">
        <v>268784</v>
      </c>
      <c r="B7" t="s">
        <v>55</v>
      </c>
      <c r="C7">
        <v>7</v>
      </c>
      <c r="D7">
        <v>4</v>
      </c>
      <c r="E7">
        <v>4</v>
      </c>
      <c r="F7">
        <v>0</v>
      </c>
      <c r="G7" t="s">
        <v>56</v>
      </c>
      <c r="H7">
        <v>1.34267359999995</v>
      </c>
      <c r="I7" t="s">
        <v>49</v>
      </c>
      <c r="J7">
        <v>0</v>
      </c>
      <c r="K7">
        <v>4</v>
      </c>
      <c r="L7">
        <v>4</v>
      </c>
      <c r="M7">
        <v>40</v>
      </c>
      <c r="N7">
        <v>26.9053758999999</v>
      </c>
      <c r="W7">
        <v>0</v>
      </c>
      <c r="X7">
        <v>0</v>
      </c>
      <c r="Y7">
        <v>26.901104400000001</v>
      </c>
      <c r="Z7">
        <v>26.9053758999999</v>
      </c>
      <c r="AA7">
        <v>27.899634699999901</v>
      </c>
      <c r="AB7">
        <v>27.916370699999899</v>
      </c>
      <c r="AC7">
        <v>28.899726699999899</v>
      </c>
      <c r="AD7">
        <v>28.899726699999899</v>
      </c>
      <c r="AE7">
        <v>30.399547499999901</v>
      </c>
      <c r="AF7">
        <v>30.399547499999901</v>
      </c>
      <c r="AG7">
        <v>30.399547499999901</v>
      </c>
      <c r="AH7">
        <v>31.750365899999899</v>
      </c>
      <c r="AI7" t="s">
        <v>56</v>
      </c>
      <c r="AJ7">
        <v>1.34267359999995</v>
      </c>
      <c r="AK7" t="s">
        <v>49</v>
      </c>
      <c r="AO7" t="s">
        <v>50</v>
      </c>
      <c r="AP7">
        <v>1</v>
      </c>
      <c r="AQ7" t="s">
        <v>51</v>
      </c>
      <c r="AR7" t="s">
        <v>52</v>
      </c>
      <c r="AT7" t="s">
        <v>53</v>
      </c>
      <c r="AU7">
        <v>60.047942277100802</v>
      </c>
      <c r="AV7" t="s">
        <v>54</v>
      </c>
    </row>
    <row r="8" spans="1:48" x14ac:dyDescent="0.35">
      <c r="A8">
        <v>935380</v>
      </c>
      <c r="B8" t="s">
        <v>55</v>
      </c>
      <c r="C8">
        <v>0</v>
      </c>
      <c r="D8">
        <v>5</v>
      </c>
      <c r="E8">
        <v>5</v>
      </c>
      <c r="F8">
        <v>0</v>
      </c>
      <c r="G8" t="s">
        <v>56</v>
      </c>
      <c r="H8">
        <v>1.25903740000001</v>
      </c>
      <c r="I8" t="s">
        <v>49</v>
      </c>
      <c r="J8">
        <v>0</v>
      </c>
      <c r="K8">
        <v>5</v>
      </c>
      <c r="L8">
        <v>5</v>
      </c>
      <c r="M8">
        <v>82</v>
      </c>
      <c r="N8">
        <v>31.8538876</v>
      </c>
      <c r="W8">
        <v>1</v>
      </c>
      <c r="X8">
        <v>10</v>
      </c>
      <c r="Y8">
        <v>31.849370899999901</v>
      </c>
      <c r="Z8">
        <v>31.8538876</v>
      </c>
      <c r="AA8">
        <v>32.749611099999903</v>
      </c>
      <c r="AB8">
        <v>32.866287099999901</v>
      </c>
      <c r="AC8">
        <v>33.7497568</v>
      </c>
      <c r="AD8">
        <v>33.7497568</v>
      </c>
      <c r="AE8">
        <v>35.249593099999899</v>
      </c>
      <c r="AF8">
        <v>35.249593099999899</v>
      </c>
      <c r="AG8">
        <v>35.249593099999899</v>
      </c>
      <c r="AH8">
        <v>36.516797399999902</v>
      </c>
      <c r="AI8" t="s">
        <v>56</v>
      </c>
      <c r="AJ8">
        <v>1.25903740000001</v>
      </c>
      <c r="AK8" t="s">
        <v>49</v>
      </c>
      <c r="AO8" t="s">
        <v>50</v>
      </c>
      <c r="AP8">
        <v>1</v>
      </c>
      <c r="AQ8" t="s">
        <v>51</v>
      </c>
      <c r="AR8" t="s">
        <v>52</v>
      </c>
      <c r="AT8" t="s">
        <v>53</v>
      </c>
      <c r="AU8">
        <v>60.047942277100802</v>
      </c>
      <c r="AV8" t="s">
        <v>54</v>
      </c>
    </row>
    <row r="9" spans="1:48" x14ac:dyDescent="0.35">
      <c r="A9">
        <v>111067</v>
      </c>
      <c r="B9" t="s">
        <v>55</v>
      </c>
      <c r="C9">
        <v>0</v>
      </c>
      <c r="D9">
        <v>6</v>
      </c>
      <c r="E9">
        <v>6</v>
      </c>
      <c r="F9">
        <v>0</v>
      </c>
      <c r="G9" t="s">
        <v>56</v>
      </c>
      <c r="H9">
        <v>0.83557350000000896</v>
      </c>
      <c r="I9" t="s">
        <v>49</v>
      </c>
      <c r="J9">
        <v>0</v>
      </c>
      <c r="K9">
        <v>6</v>
      </c>
      <c r="L9">
        <v>6</v>
      </c>
      <c r="M9">
        <v>65</v>
      </c>
      <c r="N9">
        <v>36.532874099999901</v>
      </c>
      <c r="W9">
        <v>0</v>
      </c>
      <c r="X9">
        <v>0</v>
      </c>
      <c r="Y9">
        <v>36.522999900000002</v>
      </c>
      <c r="Z9">
        <v>36.532874099999901</v>
      </c>
      <c r="AA9">
        <v>37.515999299999898</v>
      </c>
      <c r="AB9">
        <v>37.532882599999901</v>
      </c>
      <c r="AC9">
        <v>38.516005899999897</v>
      </c>
      <c r="AD9">
        <v>38.516005899999897</v>
      </c>
      <c r="AE9">
        <v>40.016101800000001</v>
      </c>
      <c r="AF9">
        <v>40.016101800000001</v>
      </c>
      <c r="AG9">
        <v>40.016101800000001</v>
      </c>
      <c r="AH9">
        <v>40.866709099999902</v>
      </c>
      <c r="AI9" t="s">
        <v>56</v>
      </c>
      <c r="AJ9">
        <v>0.83557350000000896</v>
      </c>
      <c r="AK9" t="s">
        <v>49</v>
      </c>
      <c r="AO9" t="s">
        <v>50</v>
      </c>
      <c r="AP9">
        <v>1</v>
      </c>
      <c r="AQ9" t="s">
        <v>51</v>
      </c>
      <c r="AR9" t="s">
        <v>52</v>
      </c>
      <c r="AT9" t="s">
        <v>53</v>
      </c>
      <c r="AU9">
        <v>60.047942277100802</v>
      </c>
      <c r="AV9" t="s">
        <v>54</v>
      </c>
    </row>
    <row r="10" spans="1:48" x14ac:dyDescent="0.35">
      <c r="A10">
        <v>376450</v>
      </c>
      <c r="B10" t="s">
        <v>55</v>
      </c>
      <c r="C10">
        <v>0</v>
      </c>
      <c r="D10">
        <v>7</v>
      </c>
      <c r="E10">
        <v>7</v>
      </c>
      <c r="F10">
        <v>0</v>
      </c>
      <c r="G10" t="s">
        <v>56</v>
      </c>
      <c r="H10">
        <v>0.95910950000001005</v>
      </c>
      <c r="I10" t="s">
        <v>49</v>
      </c>
      <c r="J10">
        <v>0</v>
      </c>
      <c r="K10">
        <v>7</v>
      </c>
      <c r="L10">
        <v>7</v>
      </c>
      <c r="M10">
        <v>142</v>
      </c>
      <c r="N10">
        <v>40.944906199999899</v>
      </c>
      <c r="W10">
        <v>1</v>
      </c>
      <c r="X10">
        <v>10</v>
      </c>
      <c r="Y10">
        <v>40.941279799999897</v>
      </c>
      <c r="Z10">
        <v>40.944906199999899</v>
      </c>
      <c r="AA10">
        <v>41.866121299999897</v>
      </c>
      <c r="AB10">
        <v>41.9494232999999</v>
      </c>
      <c r="AC10">
        <v>42.866218599999897</v>
      </c>
      <c r="AD10">
        <v>42.866218599999897</v>
      </c>
      <c r="AE10">
        <v>44.366217599999899</v>
      </c>
      <c r="AF10">
        <v>44.366217599999899</v>
      </c>
      <c r="AG10">
        <v>44.366217599999899</v>
      </c>
      <c r="AH10">
        <v>45.333708599999902</v>
      </c>
      <c r="AI10" t="s">
        <v>56</v>
      </c>
      <c r="AJ10">
        <v>0.95910950000001005</v>
      </c>
      <c r="AK10" t="s">
        <v>49</v>
      </c>
      <c r="AO10" t="s">
        <v>50</v>
      </c>
      <c r="AP10">
        <v>1</v>
      </c>
      <c r="AQ10" t="s">
        <v>51</v>
      </c>
      <c r="AR10" t="s">
        <v>52</v>
      </c>
      <c r="AT10" t="s">
        <v>53</v>
      </c>
      <c r="AU10">
        <v>60.047942277100802</v>
      </c>
      <c r="AV10" t="s">
        <v>54</v>
      </c>
    </row>
    <row r="11" spans="1:48" x14ac:dyDescent="0.35">
      <c r="A11">
        <v>532695</v>
      </c>
      <c r="B11" t="s">
        <v>55</v>
      </c>
      <c r="C11">
        <v>9</v>
      </c>
      <c r="D11">
        <v>8</v>
      </c>
      <c r="E11">
        <v>8</v>
      </c>
      <c r="F11">
        <v>0</v>
      </c>
      <c r="G11" t="s">
        <v>56</v>
      </c>
      <c r="H11">
        <v>1.2118596000000199</v>
      </c>
      <c r="I11" t="s">
        <v>49</v>
      </c>
      <c r="J11">
        <v>0</v>
      </c>
      <c r="K11">
        <v>8</v>
      </c>
      <c r="L11">
        <v>8</v>
      </c>
      <c r="M11">
        <v>84</v>
      </c>
      <c r="N11">
        <v>45.4023629</v>
      </c>
      <c r="W11">
        <v>1</v>
      </c>
      <c r="X11">
        <v>10</v>
      </c>
      <c r="Y11">
        <v>45.399188899999999</v>
      </c>
      <c r="Z11">
        <v>45.4023629</v>
      </c>
      <c r="AA11">
        <v>46.349866399999897</v>
      </c>
      <c r="AB11">
        <v>46.416295099999999</v>
      </c>
      <c r="AC11">
        <v>47.349318699999898</v>
      </c>
      <c r="AD11">
        <v>47.332629399999902</v>
      </c>
      <c r="AE11">
        <v>48.832704299999897</v>
      </c>
      <c r="AF11">
        <v>48.849532699999997</v>
      </c>
      <c r="AG11">
        <v>48.849532699999997</v>
      </c>
      <c r="AH11">
        <v>50.066674499999898</v>
      </c>
      <c r="AI11" t="s">
        <v>56</v>
      </c>
      <c r="AJ11">
        <v>1.2118596000000199</v>
      </c>
      <c r="AK11" t="s">
        <v>49</v>
      </c>
      <c r="AO11" t="s">
        <v>50</v>
      </c>
      <c r="AP11">
        <v>1</v>
      </c>
      <c r="AQ11" t="s">
        <v>51</v>
      </c>
      <c r="AR11" t="s">
        <v>52</v>
      </c>
      <c r="AT11" t="s">
        <v>53</v>
      </c>
      <c r="AU11">
        <v>60.047942277100802</v>
      </c>
      <c r="AV11" t="s">
        <v>54</v>
      </c>
    </row>
    <row r="12" spans="1:48" x14ac:dyDescent="0.35">
      <c r="A12">
        <v>549708</v>
      </c>
      <c r="B12" t="s">
        <v>57</v>
      </c>
      <c r="C12">
        <v>2</v>
      </c>
      <c r="D12">
        <v>9</v>
      </c>
      <c r="E12">
        <v>9</v>
      </c>
      <c r="F12">
        <v>0</v>
      </c>
      <c r="G12" t="s">
        <v>58</v>
      </c>
      <c r="H12">
        <v>0.82433150000002797</v>
      </c>
      <c r="I12" t="s">
        <v>49</v>
      </c>
      <c r="J12">
        <v>0</v>
      </c>
      <c r="K12">
        <v>9</v>
      </c>
      <c r="L12">
        <v>9</v>
      </c>
      <c r="M12">
        <v>86</v>
      </c>
      <c r="N12">
        <v>50.0837194</v>
      </c>
      <c r="W12">
        <v>0</v>
      </c>
      <c r="X12">
        <v>0</v>
      </c>
      <c r="Y12">
        <v>50.080105799999998</v>
      </c>
      <c r="Z12">
        <v>50.0837194</v>
      </c>
      <c r="AA12">
        <v>51.082748100000003</v>
      </c>
      <c r="AB12">
        <v>51.099528999999897</v>
      </c>
      <c r="AC12">
        <v>52.082645399999898</v>
      </c>
      <c r="AD12">
        <v>52.066011699999898</v>
      </c>
      <c r="AE12">
        <v>53.566176899999903</v>
      </c>
      <c r="AF12">
        <v>53.566176899999903</v>
      </c>
      <c r="AG12">
        <v>53.566176899999903</v>
      </c>
      <c r="AH12">
        <v>54.400578099999898</v>
      </c>
      <c r="AI12" t="s">
        <v>58</v>
      </c>
      <c r="AJ12">
        <v>0.82433150000002797</v>
      </c>
      <c r="AK12" t="s">
        <v>49</v>
      </c>
      <c r="AO12" t="s">
        <v>50</v>
      </c>
      <c r="AP12">
        <v>1</v>
      </c>
      <c r="AQ12" t="s">
        <v>51</v>
      </c>
      <c r="AR12" t="s">
        <v>52</v>
      </c>
      <c r="AT12" t="s">
        <v>53</v>
      </c>
      <c r="AU12">
        <v>60.047942277100802</v>
      </c>
      <c r="AV12" t="s">
        <v>54</v>
      </c>
    </row>
    <row r="13" spans="1:48" x14ac:dyDescent="0.35">
      <c r="A13">
        <v>862719</v>
      </c>
      <c r="B13" t="s">
        <v>55</v>
      </c>
      <c r="C13">
        <v>9</v>
      </c>
      <c r="D13">
        <v>10</v>
      </c>
      <c r="E13">
        <v>10</v>
      </c>
      <c r="F13">
        <v>0</v>
      </c>
      <c r="G13" t="s">
        <v>56</v>
      </c>
      <c r="H13">
        <v>0.90926239999998804</v>
      </c>
      <c r="I13" t="s">
        <v>49</v>
      </c>
      <c r="J13">
        <v>0</v>
      </c>
      <c r="K13">
        <v>10</v>
      </c>
      <c r="L13">
        <v>10</v>
      </c>
      <c r="M13">
        <v>17</v>
      </c>
      <c r="N13">
        <v>54.417844799999997</v>
      </c>
      <c r="W13">
        <v>0</v>
      </c>
      <c r="X13">
        <v>0</v>
      </c>
      <c r="Y13">
        <v>54.414399799999998</v>
      </c>
      <c r="Z13">
        <v>54.417844799999997</v>
      </c>
      <c r="AA13">
        <v>55.416023299999999</v>
      </c>
      <c r="AB13">
        <v>55.432945899999901</v>
      </c>
      <c r="AC13">
        <v>56.415845999999902</v>
      </c>
      <c r="AD13">
        <v>56.415845999999902</v>
      </c>
      <c r="AE13">
        <v>57.915829899999999</v>
      </c>
      <c r="AF13">
        <v>57.915829899999999</v>
      </c>
      <c r="AG13">
        <v>57.915829899999999</v>
      </c>
      <c r="AH13">
        <v>58.832950399999902</v>
      </c>
      <c r="AI13" t="s">
        <v>56</v>
      </c>
      <c r="AJ13">
        <v>0.90926239999998804</v>
      </c>
      <c r="AK13" t="s">
        <v>49</v>
      </c>
      <c r="AO13" t="s">
        <v>50</v>
      </c>
      <c r="AP13">
        <v>1</v>
      </c>
      <c r="AQ13" t="s">
        <v>51</v>
      </c>
      <c r="AR13" t="s">
        <v>52</v>
      </c>
      <c r="AT13" t="s">
        <v>53</v>
      </c>
      <c r="AU13">
        <v>60.047942277100802</v>
      </c>
      <c r="AV13" t="s">
        <v>54</v>
      </c>
    </row>
    <row r="14" spans="1:48" x14ac:dyDescent="0.35">
      <c r="A14">
        <v>408071</v>
      </c>
      <c r="B14" t="s">
        <v>57</v>
      </c>
      <c r="C14">
        <v>5</v>
      </c>
      <c r="D14">
        <v>11</v>
      </c>
      <c r="E14">
        <v>11</v>
      </c>
      <c r="F14">
        <v>0</v>
      </c>
      <c r="G14" t="s">
        <v>58</v>
      </c>
      <c r="H14">
        <v>0.93922759999998096</v>
      </c>
      <c r="I14" t="s">
        <v>49</v>
      </c>
      <c r="J14">
        <v>0</v>
      </c>
      <c r="K14">
        <v>11</v>
      </c>
      <c r="L14">
        <v>11</v>
      </c>
      <c r="M14">
        <v>76</v>
      </c>
      <c r="N14">
        <v>58.851702699999898</v>
      </c>
      <c r="W14">
        <v>0</v>
      </c>
      <c r="X14">
        <v>0</v>
      </c>
      <c r="Y14">
        <v>58.848296599999898</v>
      </c>
      <c r="Z14">
        <v>58.851702699999898</v>
      </c>
      <c r="AA14">
        <v>59.832285299999903</v>
      </c>
      <c r="AB14">
        <v>59.865652399999902</v>
      </c>
      <c r="AC14">
        <v>60.832379399999901</v>
      </c>
      <c r="AD14">
        <v>60.832379399999901</v>
      </c>
      <c r="AE14">
        <v>62.3324091</v>
      </c>
      <c r="AF14">
        <v>62.3324091</v>
      </c>
      <c r="AG14">
        <v>62.3324091</v>
      </c>
      <c r="AH14">
        <v>63.283159699999999</v>
      </c>
      <c r="AI14" t="s">
        <v>58</v>
      </c>
      <c r="AJ14">
        <v>0.93922759999998096</v>
      </c>
      <c r="AK14" t="s">
        <v>49</v>
      </c>
      <c r="AO14" t="s">
        <v>50</v>
      </c>
      <c r="AP14">
        <v>1</v>
      </c>
      <c r="AQ14" t="s">
        <v>51</v>
      </c>
      <c r="AR14" t="s">
        <v>52</v>
      </c>
      <c r="AT14" t="s">
        <v>53</v>
      </c>
      <c r="AU14">
        <v>60.047942277100802</v>
      </c>
      <c r="AV14" t="s">
        <v>54</v>
      </c>
    </row>
    <row r="15" spans="1:48" x14ac:dyDescent="0.35">
      <c r="A15">
        <v>877082</v>
      </c>
      <c r="B15" t="s">
        <v>57</v>
      </c>
      <c r="C15">
        <v>6</v>
      </c>
      <c r="D15">
        <v>12</v>
      </c>
      <c r="E15">
        <v>12</v>
      </c>
      <c r="F15">
        <v>0</v>
      </c>
      <c r="G15" t="s">
        <v>58</v>
      </c>
      <c r="H15">
        <v>0.97744169999998498</v>
      </c>
      <c r="I15" t="s">
        <v>49</v>
      </c>
      <c r="J15">
        <v>0</v>
      </c>
      <c r="K15">
        <v>12</v>
      </c>
      <c r="L15">
        <v>12</v>
      </c>
      <c r="M15">
        <v>83</v>
      </c>
      <c r="N15">
        <v>63.358041899999897</v>
      </c>
      <c r="W15">
        <v>1</v>
      </c>
      <c r="X15">
        <v>10</v>
      </c>
      <c r="Y15">
        <v>63.354324899999902</v>
      </c>
      <c r="Z15">
        <v>63.358041899999897</v>
      </c>
      <c r="AA15">
        <v>64.282395099999903</v>
      </c>
      <c r="AB15">
        <v>64.365715499999894</v>
      </c>
      <c r="AC15">
        <v>65.282437700000003</v>
      </c>
      <c r="AD15">
        <v>65.282437700000003</v>
      </c>
      <c r="AE15">
        <v>66.782509199999893</v>
      </c>
      <c r="AF15">
        <v>66.782509199999893</v>
      </c>
      <c r="AG15">
        <v>66.782509199999893</v>
      </c>
      <c r="AH15">
        <v>67.766032300000006</v>
      </c>
      <c r="AI15" t="s">
        <v>58</v>
      </c>
      <c r="AJ15">
        <v>0.97744169999998498</v>
      </c>
      <c r="AK15" t="s">
        <v>49</v>
      </c>
      <c r="AO15" t="s">
        <v>50</v>
      </c>
      <c r="AP15">
        <v>1</v>
      </c>
      <c r="AQ15" t="s">
        <v>51</v>
      </c>
      <c r="AR15" t="s">
        <v>52</v>
      </c>
      <c r="AT15" t="s">
        <v>53</v>
      </c>
      <c r="AU15">
        <v>60.047942277100802</v>
      </c>
      <c r="AV15" t="s">
        <v>54</v>
      </c>
    </row>
    <row r="16" spans="1:48" x14ac:dyDescent="0.35">
      <c r="A16">
        <v>811320</v>
      </c>
      <c r="B16" t="s">
        <v>57</v>
      </c>
      <c r="C16">
        <v>6</v>
      </c>
      <c r="D16">
        <v>13</v>
      </c>
      <c r="E16">
        <v>13</v>
      </c>
      <c r="F16">
        <v>0</v>
      </c>
      <c r="G16" t="s">
        <v>58</v>
      </c>
      <c r="H16">
        <v>0.71028590000003</v>
      </c>
      <c r="I16" t="s">
        <v>49</v>
      </c>
      <c r="J16">
        <v>0</v>
      </c>
      <c r="K16">
        <v>13</v>
      </c>
      <c r="L16">
        <v>13</v>
      </c>
      <c r="M16">
        <v>8</v>
      </c>
      <c r="N16">
        <v>67.782789199999897</v>
      </c>
      <c r="W16">
        <v>0</v>
      </c>
      <c r="X16">
        <v>0</v>
      </c>
      <c r="Y16">
        <v>67.771083999999902</v>
      </c>
      <c r="Z16">
        <v>67.782789199999897</v>
      </c>
      <c r="AA16">
        <v>68.765816999999899</v>
      </c>
      <c r="AB16">
        <v>68.782266199999896</v>
      </c>
      <c r="AC16">
        <v>69.765510199999994</v>
      </c>
      <c r="AD16">
        <v>69.765510199999994</v>
      </c>
      <c r="AE16">
        <v>71.265886499999894</v>
      </c>
      <c r="AF16">
        <v>71.265886499999894</v>
      </c>
      <c r="AG16">
        <v>71.265886499999894</v>
      </c>
      <c r="AH16">
        <v>71.983174999999903</v>
      </c>
      <c r="AI16" t="s">
        <v>58</v>
      </c>
      <c r="AJ16">
        <v>0.71028590000003</v>
      </c>
      <c r="AK16" t="s">
        <v>49</v>
      </c>
      <c r="AO16" t="s">
        <v>50</v>
      </c>
      <c r="AP16">
        <v>1</v>
      </c>
      <c r="AQ16" t="s">
        <v>51</v>
      </c>
      <c r="AR16" t="s">
        <v>52</v>
      </c>
      <c r="AT16" t="s">
        <v>53</v>
      </c>
      <c r="AU16">
        <v>60.047942277100802</v>
      </c>
      <c r="AV16" t="s">
        <v>54</v>
      </c>
    </row>
    <row r="17" spans="1:48" x14ac:dyDescent="0.35">
      <c r="A17">
        <v>718335</v>
      </c>
      <c r="B17" t="s">
        <v>55</v>
      </c>
      <c r="C17">
        <v>1</v>
      </c>
      <c r="D17">
        <v>14</v>
      </c>
      <c r="E17">
        <v>14</v>
      </c>
      <c r="F17">
        <v>0</v>
      </c>
      <c r="G17" t="s">
        <v>56</v>
      </c>
      <c r="H17">
        <v>1.02554509999998</v>
      </c>
      <c r="I17" t="s">
        <v>49</v>
      </c>
      <c r="J17">
        <v>0</v>
      </c>
      <c r="K17">
        <v>14</v>
      </c>
      <c r="L17">
        <v>14</v>
      </c>
      <c r="M17">
        <v>66</v>
      </c>
      <c r="N17">
        <v>72.005755099999902</v>
      </c>
      <c r="W17">
        <v>0</v>
      </c>
      <c r="X17">
        <v>0</v>
      </c>
      <c r="Y17">
        <v>72.001997200000005</v>
      </c>
      <c r="Z17">
        <v>72.005755099999902</v>
      </c>
      <c r="AA17">
        <v>72.982911299999998</v>
      </c>
      <c r="AB17">
        <v>73.0157623999999</v>
      </c>
      <c r="AC17">
        <v>73.982197499999899</v>
      </c>
      <c r="AD17">
        <v>73.998861399999996</v>
      </c>
      <c r="AE17">
        <v>75.499046299999904</v>
      </c>
      <c r="AF17">
        <v>75.482427999999899</v>
      </c>
      <c r="AG17">
        <v>75.482427999999899</v>
      </c>
      <c r="AH17">
        <v>76.517351799999901</v>
      </c>
      <c r="AI17" t="s">
        <v>56</v>
      </c>
      <c r="AJ17">
        <v>1.02554509999998</v>
      </c>
      <c r="AK17" t="s">
        <v>49</v>
      </c>
      <c r="AO17" t="s">
        <v>50</v>
      </c>
      <c r="AP17">
        <v>1</v>
      </c>
      <c r="AQ17" t="s">
        <v>51</v>
      </c>
      <c r="AR17" t="s">
        <v>52</v>
      </c>
      <c r="AT17" t="s">
        <v>53</v>
      </c>
      <c r="AU17">
        <v>60.047942277100802</v>
      </c>
      <c r="AV17" t="s">
        <v>54</v>
      </c>
    </row>
    <row r="18" spans="1:48" x14ac:dyDescent="0.35">
      <c r="A18">
        <v>117161</v>
      </c>
      <c r="B18" t="s">
        <v>55</v>
      </c>
      <c r="C18">
        <v>1</v>
      </c>
      <c r="D18">
        <v>15</v>
      </c>
      <c r="E18">
        <v>15</v>
      </c>
      <c r="F18">
        <v>0</v>
      </c>
      <c r="G18" t="s">
        <v>56</v>
      </c>
      <c r="H18">
        <v>0.492574400000023</v>
      </c>
      <c r="I18" t="s">
        <v>49</v>
      </c>
      <c r="J18">
        <v>0</v>
      </c>
      <c r="K18">
        <v>15</v>
      </c>
      <c r="L18">
        <v>15</v>
      </c>
      <c r="M18">
        <v>13</v>
      </c>
      <c r="N18">
        <v>76.569814500000007</v>
      </c>
      <c r="W18">
        <v>1</v>
      </c>
      <c r="X18">
        <v>10</v>
      </c>
      <c r="Y18">
        <v>76.566003099999904</v>
      </c>
      <c r="Z18">
        <v>76.569814500000007</v>
      </c>
      <c r="AA18">
        <v>77.532169999999994</v>
      </c>
      <c r="AB18">
        <v>77.582037399999905</v>
      </c>
      <c r="AC18">
        <v>78.532094199999904</v>
      </c>
      <c r="AD18">
        <v>78.532094199999904</v>
      </c>
      <c r="AE18">
        <v>80.032250099999999</v>
      </c>
      <c r="AF18">
        <v>80.032250099999999</v>
      </c>
      <c r="AG18">
        <v>80.032250099999999</v>
      </c>
      <c r="AH18">
        <v>80.532799299999894</v>
      </c>
      <c r="AI18" t="s">
        <v>56</v>
      </c>
      <c r="AJ18">
        <v>0.492574400000023</v>
      </c>
      <c r="AK18" t="s">
        <v>49</v>
      </c>
      <c r="AO18" t="s">
        <v>50</v>
      </c>
      <c r="AP18">
        <v>1</v>
      </c>
      <c r="AQ18" t="s">
        <v>51</v>
      </c>
      <c r="AR18" t="s">
        <v>52</v>
      </c>
      <c r="AT18" t="s">
        <v>53</v>
      </c>
      <c r="AU18">
        <v>60.047942277100802</v>
      </c>
      <c r="AV18" t="s">
        <v>54</v>
      </c>
    </row>
    <row r="19" spans="1:48" x14ac:dyDescent="0.35">
      <c r="A19">
        <v>932240</v>
      </c>
      <c r="B19" t="s">
        <v>57</v>
      </c>
      <c r="C19">
        <v>8</v>
      </c>
      <c r="D19">
        <v>16</v>
      </c>
      <c r="E19">
        <v>16</v>
      </c>
      <c r="F19">
        <v>0</v>
      </c>
      <c r="G19" t="s">
        <v>58</v>
      </c>
      <c r="H19">
        <v>0.84113930000000803</v>
      </c>
      <c r="I19" t="s">
        <v>49</v>
      </c>
      <c r="J19">
        <v>0</v>
      </c>
      <c r="K19">
        <v>16</v>
      </c>
      <c r="L19">
        <v>16</v>
      </c>
      <c r="M19">
        <v>69</v>
      </c>
      <c r="N19">
        <v>80.587520699999899</v>
      </c>
      <c r="W19">
        <v>1</v>
      </c>
      <c r="X19">
        <v>10</v>
      </c>
      <c r="Y19">
        <v>80.584247199999993</v>
      </c>
      <c r="Z19">
        <v>80.587520699999899</v>
      </c>
      <c r="AA19">
        <v>81.532205999999903</v>
      </c>
      <c r="AB19">
        <v>81.598699999999994</v>
      </c>
      <c r="AC19">
        <v>82.532138999999901</v>
      </c>
      <c r="AD19">
        <v>82.532138999999901</v>
      </c>
      <c r="AE19">
        <v>84.032047999999904</v>
      </c>
      <c r="AF19">
        <v>84.032047999999904</v>
      </c>
      <c r="AG19">
        <v>84.032047999999904</v>
      </c>
      <c r="AH19">
        <v>84.883078099999906</v>
      </c>
      <c r="AI19" t="s">
        <v>58</v>
      </c>
      <c r="AJ19">
        <v>0.84113930000000803</v>
      </c>
      <c r="AK19" t="s">
        <v>49</v>
      </c>
      <c r="AO19" t="s">
        <v>50</v>
      </c>
      <c r="AP19">
        <v>1</v>
      </c>
      <c r="AQ19" t="s">
        <v>51</v>
      </c>
      <c r="AR19" t="s">
        <v>52</v>
      </c>
      <c r="AT19" t="s">
        <v>53</v>
      </c>
      <c r="AU19">
        <v>60.047942277100802</v>
      </c>
      <c r="AV19" t="s">
        <v>54</v>
      </c>
    </row>
    <row r="20" spans="1:48" x14ac:dyDescent="0.35">
      <c r="A20">
        <v>198663</v>
      </c>
      <c r="B20" t="s">
        <v>57</v>
      </c>
      <c r="C20">
        <v>4</v>
      </c>
      <c r="D20">
        <v>17</v>
      </c>
      <c r="E20">
        <v>17</v>
      </c>
      <c r="F20">
        <v>0</v>
      </c>
      <c r="G20" t="s">
        <v>58</v>
      </c>
      <c r="H20">
        <v>0.90832269999998505</v>
      </c>
      <c r="I20" t="s">
        <v>49</v>
      </c>
      <c r="J20">
        <v>0</v>
      </c>
      <c r="K20">
        <v>17</v>
      </c>
      <c r="L20">
        <v>17</v>
      </c>
      <c r="M20">
        <v>0</v>
      </c>
      <c r="N20">
        <v>84.948118399999998</v>
      </c>
      <c r="W20">
        <v>1</v>
      </c>
      <c r="X20">
        <v>10</v>
      </c>
      <c r="Y20">
        <v>84.944558400000005</v>
      </c>
      <c r="Z20">
        <v>84.948118399999998</v>
      </c>
      <c r="AA20">
        <v>85.881915100000001</v>
      </c>
      <c r="AB20">
        <v>85.948702699999998</v>
      </c>
      <c r="AC20">
        <v>86.881953099999905</v>
      </c>
      <c r="AD20">
        <v>86.898936300000003</v>
      </c>
      <c r="AE20">
        <v>88.398801899999896</v>
      </c>
      <c r="AF20">
        <v>88.398801899999896</v>
      </c>
      <c r="AG20">
        <v>88.398801899999896</v>
      </c>
      <c r="AH20">
        <v>89.316122699999994</v>
      </c>
      <c r="AI20" t="s">
        <v>58</v>
      </c>
      <c r="AJ20">
        <v>0.90832269999998505</v>
      </c>
      <c r="AK20" t="s">
        <v>49</v>
      </c>
      <c r="AO20" t="s">
        <v>50</v>
      </c>
      <c r="AP20">
        <v>1</v>
      </c>
      <c r="AQ20" t="s">
        <v>51</v>
      </c>
      <c r="AR20" t="s">
        <v>52</v>
      </c>
      <c r="AT20" t="s">
        <v>53</v>
      </c>
      <c r="AU20">
        <v>60.047942277100802</v>
      </c>
      <c r="AV20" t="s">
        <v>54</v>
      </c>
    </row>
    <row r="21" spans="1:48" x14ac:dyDescent="0.35">
      <c r="A21">
        <v>167817</v>
      </c>
      <c r="B21" t="s">
        <v>55</v>
      </c>
      <c r="C21">
        <v>1</v>
      </c>
      <c r="D21">
        <v>18</v>
      </c>
      <c r="E21">
        <v>18</v>
      </c>
      <c r="F21">
        <v>0</v>
      </c>
      <c r="G21" t="s">
        <v>56</v>
      </c>
      <c r="H21">
        <v>0.78878449999996203</v>
      </c>
      <c r="I21" t="s">
        <v>49</v>
      </c>
      <c r="J21">
        <v>0</v>
      </c>
      <c r="K21">
        <v>18</v>
      </c>
      <c r="L21">
        <v>18</v>
      </c>
      <c r="M21">
        <v>60</v>
      </c>
      <c r="N21">
        <v>89.338862099999901</v>
      </c>
      <c r="W21">
        <v>0</v>
      </c>
      <c r="X21">
        <v>0</v>
      </c>
      <c r="Y21">
        <v>89.333776699999902</v>
      </c>
      <c r="Z21">
        <v>89.338862099999901</v>
      </c>
      <c r="AA21">
        <v>90.331961100000001</v>
      </c>
      <c r="AB21">
        <v>90.348773999999906</v>
      </c>
      <c r="AC21">
        <v>91.331932800000004</v>
      </c>
      <c r="AD21">
        <v>91.331932800000004</v>
      </c>
      <c r="AE21">
        <v>92.831911199999894</v>
      </c>
      <c r="AF21">
        <v>92.831911199999894</v>
      </c>
      <c r="AG21">
        <v>92.831911199999894</v>
      </c>
      <c r="AH21">
        <v>93.632455899999897</v>
      </c>
      <c r="AI21" t="s">
        <v>56</v>
      </c>
      <c r="AJ21">
        <v>0.78878449999996203</v>
      </c>
      <c r="AK21" t="s">
        <v>49</v>
      </c>
      <c r="AO21" t="s">
        <v>50</v>
      </c>
      <c r="AP21">
        <v>1</v>
      </c>
      <c r="AQ21" t="s">
        <v>51</v>
      </c>
      <c r="AR21" t="s">
        <v>52</v>
      </c>
      <c r="AT21" t="s">
        <v>53</v>
      </c>
      <c r="AU21">
        <v>60.047942277100802</v>
      </c>
      <c r="AV21" t="s">
        <v>54</v>
      </c>
    </row>
    <row r="22" spans="1:48" x14ac:dyDescent="0.35">
      <c r="A22">
        <v>721903</v>
      </c>
      <c r="B22" t="s">
        <v>55</v>
      </c>
      <c r="C22">
        <v>1</v>
      </c>
      <c r="D22">
        <v>19</v>
      </c>
      <c r="E22">
        <v>19</v>
      </c>
      <c r="F22">
        <v>0</v>
      </c>
      <c r="G22" t="s">
        <v>56</v>
      </c>
      <c r="H22">
        <v>1.4441785999999801</v>
      </c>
      <c r="I22" t="s">
        <v>49</v>
      </c>
      <c r="J22">
        <v>0</v>
      </c>
      <c r="K22">
        <v>19</v>
      </c>
      <c r="L22">
        <v>19</v>
      </c>
      <c r="M22">
        <v>28</v>
      </c>
      <c r="N22">
        <v>93.648596599999905</v>
      </c>
      <c r="W22">
        <v>0</v>
      </c>
      <c r="X22">
        <v>0</v>
      </c>
      <c r="Y22">
        <v>93.636720400000002</v>
      </c>
      <c r="Z22">
        <v>93.648596599999905</v>
      </c>
      <c r="AA22">
        <v>94.631775599999898</v>
      </c>
      <c r="AB22">
        <v>94.648669899999902</v>
      </c>
      <c r="AC22">
        <v>95.631774899999897</v>
      </c>
      <c r="AD22">
        <v>95.631774899999897</v>
      </c>
      <c r="AE22">
        <v>97.132002599999893</v>
      </c>
      <c r="AF22">
        <v>97.132002599999893</v>
      </c>
      <c r="AG22">
        <v>97.132002599999893</v>
      </c>
      <c r="AH22">
        <v>98.5826200999999</v>
      </c>
      <c r="AI22" t="s">
        <v>56</v>
      </c>
      <c r="AJ22">
        <v>1.4441785999999801</v>
      </c>
      <c r="AK22" t="s">
        <v>49</v>
      </c>
      <c r="AO22" t="s">
        <v>50</v>
      </c>
      <c r="AP22">
        <v>1</v>
      </c>
      <c r="AQ22" t="s">
        <v>51</v>
      </c>
      <c r="AR22" t="s">
        <v>52</v>
      </c>
      <c r="AT22" t="s">
        <v>53</v>
      </c>
      <c r="AU22">
        <v>60.047942277100802</v>
      </c>
      <c r="AV22" t="s">
        <v>54</v>
      </c>
    </row>
    <row r="23" spans="1:48" x14ac:dyDescent="0.35">
      <c r="A23">
        <v>825570</v>
      </c>
      <c r="B23" t="s">
        <v>57</v>
      </c>
      <c r="C23">
        <v>3</v>
      </c>
      <c r="D23">
        <v>20</v>
      </c>
      <c r="E23">
        <v>20</v>
      </c>
      <c r="F23">
        <v>0</v>
      </c>
      <c r="G23" t="s">
        <v>58</v>
      </c>
      <c r="H23">
        <v>0.66786639999997899</v>
      </c>
      <c r="I23" t="s">
        <v>49</v>
      </c>
      <c r="J23">
        <v>0</v>
      </c>
      <c r="K23">
        <v>20</v>
      </c>
      <c r="L23">
        <v>20</v>
      </c>
      <c r="M23">
        <v>131</v>
      </c>
      <c r="N23">
        <v>98.651662099999996</v>
      </c>
      <c r="W23">
        <v>1</v>
      </c>
      <c r="X23">
        <v>10</v>
      </c>
      <c r="Y23">
        <v>98.647849500000007</v>
      </c>
      <c r="Z23">
        <v>98.651662099999996</v>
      </c>
      <c r="AA23">
        <v>99.598633500000005</v>
      </c>
      <c r="AB23">
        <v>99.665034399999897</v>
      </c>
      <c r="AC23">
        <v>100.59852389999899</v>
      </c>
      <c r="AD23">
        <v>100.581838099999</v>
      </c>
      <c r="AE23">
        <v>102.08180979999899</v>
      </c>
      <c r="AF23">
        <v>102.08180979999899</v>
      </c>
      <c r="AG23">
        <v>102.08180979999899</v>
      </c>
      <c r="AH23">
        <v>102.765452299999</v>
      </c>
      <c r="AI23" t="s">
        <v>58</v>
      </c>
      <c r="AJ23">
        <v>0.66786639999997899</v>
      </c>
      <c r="AK23" t="s">
        <v>49</v>
      </c>
      <c r="AO23" t="s">
        <v>50</v>
      </c>
      <c r="AP23">
        <v>1</v>
      </c>
      <c r="AQ23" t="s">
        <v>51</v>
      </c>
      <c r="AR23" t="s">
        <v>52</v>
      </c>
      <c r="AT23" t="s">
        <v>53</v>
      </c>
      <c r="AU23">
        <v>60.047942277100802</v>
      </c>
      <c r="AV23" t="s">
        <v>54</v>
      </c>
    </row>
    <row r="24" spans="1:48" x14ac:dyDescent="0.35">
      <c r="A24">
        <v>548461</v>
      </c>
      <c r="B24" t="s">
        <v>57</v>
      </c>
      <c r="C24">
        <v>9</v>
      </c>
      <c r="D24">
        <v>21</v>
      </c>
      <c r="E24">
        <v>21</v>
      </c>
      <c r="F24">
        <v>0</v>
      </c>
      <c r="G24" t="s">
        <v>58</v>
      </c>
      <c r="H24">
        <v>0.96549780000003604</v>
      </c>
      <c r="I24" t="s">
        <v>49</v>
      </c>
      <c r="J24">
        <v>0</v>
      </c>
      <c r="K24">
        <v>21</v>
      </c>
      <c r="L24">
        <v>21</v>
      </c>
      <c r="M24">
        <v>4</v>
      </c>
      <c r="N24">
        <v>102.78162149999901</v>
      </c>
      <c r="W24">
        <v>0</v>
      </c>
      <c r="X24">
        <v>0</v>
      </c>
      <c r="Y24">
        <v>102.77634839999899</v>
      </c>
      <c r="Z24">
        <v>102.78162149999901</v>
      </c>
      <c r="AA24">
        <v>103.76491609999999</v>
      </c>
      <c r="AB24">
        <v>103.781741799999</v>
      </c>
      <c r="AC24">
        <v>104.764869799999</v>
      </c>
      <c r="AD24">
        <v>104.764869799999</v>
      </c>
      <c r="AE24">
        <v>106.265308699999</v>
      </c>
      <c r="AF24">
        <v>106.265308699999</v>
      </c>
      <c r="AG24">
        <v>106.265308699999</v>
      </c>
      <c r="AH24">
        <v>107.23270299999901</v>
      </c>
      <c r="AI24" t="s">
        <v>58</v>
      </c>
      <c r="AJ24">
        <v>0.96549780000003604</v>
      </c>
      <c r="AK24" t="s">
        <v>49</v>
      </c>
      <c r="AO24" t="s">
        <v>50</v>
      </c>
      <c r="AP24">
        <v>1</v>
      </c>
      <c r="AQ24" t="s">
        <v>51</v>
      </c>
      <c r="AR24" t="s">
        <v>52</v>
      </c>
      <c r="AT24" t="s">
        <v>53</v>
      </c>
      <c r="AU24">
        <v>60.047942277100802</v>
      </c>
      <c r="AV24" t="s">
        <v>54</v>
      </c>
    </row>
    <row r="25" spans="1:48" x14ac:dyDescent="0.35">
      <c r="A25">
        <v>323280</v>
      </c>
      <c r="B25" t="s">
        <v>55</v>
      </c>
      <c r="C25">
        <v>2</v>
      </c>
      <c r="D25">
        <v>22</v>
      </c>
      <c r="E25">
        <v>22</v>
      </c>
      <c r="F25">
        <v>0</v>
      </c>
      <c r="G25" t="s">
        <v>56</v>
      </c>
      <c r="H25">
        <v>0.90847420000000001</v>
      </c>
      <c r="I25" t="s">
        <v>49</v>
      </c>
      <c r="J25">
        <v>0</v>
      </c>
      <c r="K25">
        <v>22</v>
      </c>
      <c r="L25">
        <v>22</v>
      </c>
      <c r="M25">
        <v>73</v>
      </c>
      <c r="N25">
        <v>107.2980713</v>
      </c>
      <c r="W25">
        <v>1</v>
      </c>
      <c r="X25">
        <v>10</v>
      </c>
      <c r="Y25">
        <v>107.2947815</v>
      </c>
      <c r="Z25">
        <v>107.2980713</v>
      </c>
      <c r="AA25">
        <v>108.24818579999901</v>
      </c>
      <c r="AB25">
        <v>108.298321899999</v>
      </c>
      <c r="AC25">
        <v>109.24844959999901</v>
      </c>
      <c r="AD25">
        <v>109.24844959999901</v>
      </c>
      <c r="AE25">
        <v>110.74816389999999</v>
      </c>
      <c r="AF25">
        <v>110.74816389999999</v>
      </c>
      <c r="AG25">
        <v>110.74816389999999</v>
      </c>
      <c r="AH25">
        <v>111.665610099999</v>
      </c>
      <c r="AI25" t="s">
        <v>56</v>
      </c>
      <c r="AJ25">
        <v>0.90847420000000001</v>
      </c>
      <c r="AK25" t="s">
        <v>49</v>
      </c>
      <c r="AO25" t="s">
        <v>50</v>
      </c>
      <c r="AP25">
        <v>1</v>
      </c>
      <c r="AQ25" t="s">
        <v>51</v>
      </c>
      <c r="AR25" t="s">
        <v>52</v>
      </c>
      <c r="AT25" t="s">
        <v>53</v>
      </c>
      <c r="AU25">
        <v>60.047942277100802</v>
      </c>
      <c r="AV25" t="s">
        <v>54</v>
      </c>
    </row>
    <row r="26" spans="1:48" x14ac:dyDescent="0.35">
      <c r="A26">
        <v>334713</v>
      </c>
      <c r="B26" t="s">
        <v>57</v>
      </c>
      <c r="C26">
        <v>8</v>
      </c>
      <c r="D26">
        <v>23</v>
      </c>
      <c r="E26">
        <v>23</v>
      </c>
      <c r="F26">
        <v>0</v>
      </c>
      <c r="G26" t="s">
        <v>58</v>
      </c>
      <c r="H26">
        <v>0.74802019999998404</v>
      </c>
      <c r="I26" t="s">
        <v>49</v>
      </c>
      <c r="J26">
        <v>0</v>
      </c>
      <c r="K26">
        <v>23</v>
      </c>
      <c r="L26">
        <v>23</v>
      </c>
      <c r="M26">
        <v>27</v>
      </c>
      <c r="N26">
        <v>111.6860911</v>
      </c>
      <c r="W26">
        <v>0</v>
      </c>
      <c r="X26">
        <v>0</v>
      </c>
      <c r="Y26">
        <v>111.682578699999</v>
      </c>
      <c r="Z26">
        <v>111.6860911</v>
      </c>
      <c r="AA26">
        <v>112.665133999999</v>
      </c>
      <c r="AB26">
        <v>112.6983475</v>
      </c>
      <c r="AC26">
        <v>113.6649666</v>
      </c>
      <c r="AD26">
        <v>113.681554699999</v>
      </c>
      <c r="AE26">
        <v>115.18175629999899</v>
      </c>
      <c r="AF26">
        <v>115.165409</v>
      </c>
      <c r="AG26">
        <v>115.165409</v>
      </c>
      <c r="AH26">
        <v>115.9158802</v>
      </c>
      <c r="AI26" t="s">
        <v>58</v>
      </c>
      <c r="AJ26">
        <v>0.74802019999998404</v>
      </c>
      <c r="AK26" t="s">
        <v>49</v>
      </c>
      <c r="AO26" t="s">
        <v>50</v>
      </c>
      <c r="AP26">
        <v>1</v>
      </c>
      <c r="AQ26" t="s">
        <v>51</v>
      </c>
      <c r="AR26" t="s">
        <v>52</v>
      </c>
      <c r="AT26" t="s">
        <v>53</v>
      </c>
      <c r="AU26">
        <v>60.047942277100802</v>
      </c>
      <c r="AV26" t="s">
        <v>54</v>
      </c>
    </row>
    <row r="27" spans="1:48" x14ac:dyDescent="0.35">
      <c r="A27">
        <v>107622</v>
      </c>
      <c r="B27" t="s">
        <v>57</v>
      </c>
      <c r="C27">
        <v>5</v>
      </c>
      <c r="D27">
        <v>24</v>
      </c>
      <c r="E27">
        <v>24</v>
      </c>
      <c r="F27">
        <v>0</v>
      </c>
      <c r="G27" t="s">
        <v>58</v>
      </c>
      <c r="H27">
        <v>0.82033039999998802</v>
      </c>
      <c r="I27" t="s">
        <v>49</v>
      </c>
      <c r="J27">
        <v>0</v>
      </c>
      <c r="K27">
        <v>24</v>
      </c>
      <c r="L27">
        <v>24</v>
      </c>
      <c r="M27">
        <v>70</v>
      </c>
      <c r="N27">
        <v>115.990228599999</v>
      </c>
      <c r="W27">
        <v>1</v>
      </c>
      <c r="X27">
        <v>10</v>
      </c>
      <c r="Y27">
        <v>115.9860509</v>
      </c>
      <c r="Z27">
        <v>115.990228599999</v>
      </c>
      <c r="AA27">
        <v>116.931935299999</v>
      </c>
      <c r="AB27">
        <v>116.998105299999</v>
      </c>
      <c r="AC27">
        <v>117.931708799999</v>
      </c>
      <c r="AD27">
        <v>117.931708799999</v>
      </c>
      <c r="AE27">
        <v>119.431774599999</v>
      </c>
      <c r="AF27">
        <v>119.431774599999</v>
      </c>
      <c r="AG27">
        <v>119.431774599999</v>
      </c>
      <c r="AH27">
        <v>120.2654991</v>
      </c>
      <c r="AI27" t="s">
        <v>58</v>
      </c>
      <c r="AJ27">
        <v>0.82033039999998802</v>
      </c>
      <c r="AK27" t="s">
        <v>49</v>
      </c>
      <c r="AO27" t="s">
        <v>50</v>
      </c>
      <c r="AP27">
        <v>1</v>
      </c>
      <c r="AQ27" t="s">
        <v>51</v>
      </c>
      <c r="AR27" t="s">
        <v>52</v>
      </c>
      <c r="AT27" t="s">
        <v>53</v>
      </c>
      <c r="AU27">
        <v>60.047942277100802</v>
      </c>
      <c r="AV27" t="s">
        <v>54</v>
      </c>
    </row>
    <row r="28" spans="1:48" x14ac:dyDescent="0.35">
      <c r="A28">
        <v>205460</v>
      </c>
      <c r="B28" t="s">
        <v>55</v>
      </c>
      <c r="C28">
        <v>2</v>
      </c>
      <c r="D28">
        <v>25</v>
      </c>
      <c r="E28">
        <v>25</v>
      </c>
      <c r="F28">
        <v>0</v>
      </c>
      <c r="G28" t="s">
        <v>56</v>
      </c>
      <c r="H28">
        <v>1.2064333999999799</v>
      </c>
      <c r="I28" t="s">
        <v>49</v>
      </c>
      <c r="J28">
        <v>0</v>
      </c>
      <c r="K28">
        <v>25</v>
      </c>
      <c r="L28">
        <v>25</v>
      </c>
      <c r="M28">
        <v>92</v>
      </c>
      <c r="N28">
        <v>120.329601299999</v>
      </c>
      <c r="W28">
        <v>1</v>
      </c>
      <c r="X28">
        <v>10</v>
      </c>
      <c r="Y28">
        <v>120.326230299999</v>
      </c>
      <c r="Z28">
        <v>120.329601299999</v>
      </c>
      <c r="AA28">
        <v>121.26511249999901</v>
      </c>
      <c r="AB28">
        <v>121.331500099999</v>
      </c>
      <c r="AC28">
        <v>122.264654399999</v>
      </c>
      <c r="AD28">
        <v>122.28144649999901</v>
      </c>
      <c r="AE28">
        <v>123.7822582</v>
      </c>
      <c r="AF28">
        <v>123.7822582</v>
      </c>
      <c r="AG28">
        <v>123.7822582</v>
      </c>
      <c r="AH28">
        <v>124.99919929999901</v>
      </c>
      <c r="AI28" t="s">
        <v>56</v>
      </c>
      <c r="AJ28">
        <v>1.2064333999999799</v>
      </c>
      <c r="AK28" t="s">
        <v>49</v>
      </c>
      <c r="AO28" t="s">
        <v>50</v>
      </c>
      <c r="AP28">
        <v>1</v>
      </c>
      <c r="AQ28" t="s">
        <v>51</v>
      </c>
      <c r="AR28" t="s">
        <v>52</v>
      </c>
      <c r="AT28" t="s">
        <v>53</v>
      </c>
      <c r="AU28">
        <v>60.047942277100802</v>
      </c>
      <c r="AV28" t="s">
        <v>54</v>
      </c>
    </row>
    <row r="29" spans="1:48" x14ac:dyDescent="0.35">
      <c r="A29">
        <v>472853</v>
      </c>
      <c r="B29" t="s">
        <v>57</v>
      </c>
      <c r="C29">
        <v>1</v>
      </c>
      <c r="D29">
        <v>26</v>
      </c>
      <c r="E29">
        <v>26</v>
      </c>
      <c r="F29">
        <v>0</v>
      </c>
      <c r="G29" t="s">
        <v>58</v>
      </c>
      <c r="H29">
        <v>0.75127830000002405</v>
      </c>
      <c r="I29" t="s">
        <v>49</v>
      </c>
      <c r="J29">
        <v>0</v>
      </c>
      <c r="K29">
        <v>26</v>
      </c>
      <c r="L29">
        <v>26</v>
      </c>
      <c r="M29">
        <v>145</v>
      </c>
      <c r="N29">
        <v>125.0719168</v>
      </c>
      <c r="W29">
        <v>1</v>
      </c>
      <c r="X29">
        <v>10</v>
      </c>
      <c r="Y29">
        <v>125.068347799999</v>
      </c>
      <c r="Z29">
        <v>125.0719168</v>
      </c>
      <c r="AA29">
        <v>126.0147908</v>
      </c>
      <c r="AB29">
        <v>126.08139</v>
      </c>
      <c r="AC29">
        <v>127.01474450000001</v>
      </c>
      <c r="AD29">
        <v>127.01474450000001</v>
      </c>
      <c r="AE29">
        <v>128.51477130000001</v>
      </c>
      <c r="AF29">
        <v>128.51477130000001</v>
      </c>
      <c r="AG29">
        <v>128.51477130000001</v>
      </c>
      <c r="AH29">
        <v>129.282010799999</v>
      </c>
      <c r="AI29" t="s">
        <v>58</v>
      </c>
      <c r="AJ29">
        <v>0.75127830000002405</v>
      </c>
      <c r="AK29" t="s">
        <v>49</v>
      </c>
      <c r="AO29" t="s">
        <v>50</v>
      </c>
      <c r="AP29">
        <v>1</v>
      </c>
      <c r="AQ29" t="s">
        <v>51</v>
      </c>
      <c r="AR29" t="s">
        <v>52</v>
      </c>
      <c r="AT29" t="s">
        <v>53</v>
      </c>
      <c r="AU29">
        <v>60.047942277100802</v>
      </c>
      <c r="AV29" t="s">
        <v>54</v>
      </c>
    </row>
    <row r="30" spans="1:48" x14ac:dyDescent="0.35">
      <c r="A30">
        <v>522283</v>
      </c>
      <c r="B30" t="s">
        <v>57</v>
      </c>
      <c r="C30">
        <v>6</v>
      </c>
      <c r="D30">
        <v>27</v>
      </c>
      <c r="E30">
        <v>27</v>
      </c>
      <c r="F30">
        <v>0</v>
      </c>
      <c r="G30" t="s">
        <v>58</v>
      </c>
      <c r="H30">
        <v>0.67437370000004604</v>
      </c>
      <c r="I30" t="s">
        <v>49</v>
      </c>
      <c r="J30">
        <v>0</v>
      </c>
      <c r="K30">
        <v>27</v>
      </c>
      <c r="L30">
        <v>27</v>
      </c>
      <c r="M30">
        <v>120</v>
      </c>
      <c r="N30">
        <v>129.34925959999899</v>
      </c>
      <c r="W30">
        <v>1</v>
      </c>
      <c r="X30">
        <v>10</v>
      </c>
      <c r="Y30">
        <v>129.34627669999901</v>
      </c>
      <c r="Z30">
        <v>129.34925959999899</v>
      </c>
      <c r="AA30">
        <v>130.298134099999</v>
      </c>
      <c r="AB30">
        <v>130.3645381</v>
      </c>
      <c r="AC30">
        <v>131.298046</v>
      </c>
      <c r="AD30">
        <v>131.298046</v>
      </c>
      <c r="AE30">
        <v>132.7981302</v>
      </c>
      <c r="AF30">
        <v>132.7981302</v>
      </c>
      <c r="AG30">
        <v>132.7981302</v>
      </c>
      <c r="AH30">
        <v>133.482130699999</v>
      </c>
      <c r="AI30" t="s">
        <v>58</v>
      </c>
      <c r="AJ30">
        <v>0.67437370000004604</v>
      </c>
      <c r="AK30" t="s">
        <v>49</v>
      </c>
      <c r="AO30" t="s">
        <v>50</v>
      </c>
      <c r="AP30">
        <v>1</v>
      </c>
      <c r="AQ30" t="s">
        <v>51</v>
      </c>
      <c r="AR30" t="s">
        <v>52</v>
      </c>
      <c r="AT30" t="s">
        <v>53</v>
      </c>
      <c r="AU30">
        <v>60.047942277100802</v>
      </c>
      <c r="AV30" t="s">
        <v>54</v>
      </c>
    </row>
    <row r="31" spans="1:48" x14ac:dyDescent="0.35">
      <c r="A31">
        <v>703770</v>
      </c>
      <c r="B31" t="s">
        <v>57</v>
      </c>
      <c r="C31">
        <v>9</v>
      </c>
      <c r="D31">
        <v>28</v>
      </c>
      <c r="E31">
        <v>28</v>
      </c>
      <c r="F31">
        <v>0</v>
      </c>
      <c r="G31" t="s">
        <v>58</v>
      </c>
      <c r="H31">
        <v>0.609780199999988</v>
      </c>
      <c r="I31" t="s">
        <v>49</v>
      </c>
      <c r="J31">
        <v>0</v>
      </c>
      <c r="K31">
        <v>28</v>
      </c>
      <c r="L31">
        <v>28</v>
      </c>
      <c r="M31">
        <v>135</v>
      </c>
      <c r="N31">
        <v>133.54084369999899</v>
      </c>
      <c r="W31">
        <v>1</v>
      </c>
      <c r="X31">
        <v>10</v>
      </c>
      <c r="Y31">
        <v>133.53730719999999</v>
      </c>
      <c r="Z31">
        <v>133.54084369999899</v>
      </c>
      <c r="AA31">
        <v>134.481320699999</v>
      </c>
      <c r="AB31">
        <v>134.54805769999899</v>
      </c>
      <c r="AC31">
        <v>135.4811517</v>
      </c>
      <c r="AD31">
        <v>135.4811517</v>
      </c>
      <c r="AE31">
        <v>136.981074199999</v>
      </c>
      <c r="AF31">
        <v>136.997774399999</v>
      </c>
      <c r="AG31">
        <v>136.997774399999</v>
      </c>
      <c r="AH31">
        <v>137.6153382</v>
      </c>
      <c r="AI31" t="s">
        <v>58</v>
      </c>
      <c r="AJ31">
        <v>0.609780199999988</v>
      </c>
      <c r="AK31" t="s">
        <v>49</v>
      </c>
      <c r="AO31" t="s">
        <v>50</v>
      </c>
      <c r="AP31">
        <v>1</v>
      </c>
      <c r="AQ31" t="s">
        <v>51</v>
      </c>
      <c r="AR31" t="s">
        <v>52</v>
      </c>
      <c r="AT31" t="s">
        <v>53</v>
      </c>
      <c r="AU31">
        <v>60.047942277100802</v>
      </c>
      <c r="AV31" t="s">
        <v>54</v>
      </c>
    </row>
    <row r="32" spans="1:48" x14ac:dyDescent="0.35">
      <c r="A32">
        <v>305249</v>
      </c>
      <c r="B32" t="s">
        <v>55</v>
      </c>
      <c r="C32">
        <v>9</v>
      </c>
      <c r="D32">
        <v>29</v>
      </c>
      <c r="E32">
        <v>29</v>
      </c>
      <c r="F32">
        <v>0</v>
      </c>
      <c r="G32" t="s">
        <v>58</v>
      </c>
      <c r="H32">
        <v>0.81237019999997495</v>
      </c>
      <c r="I32" t="s">
        <v>49</v>
      </c>
      <c r="J32">
        <v>0</v>
      </c>
      <c r="K32">
        <v>29</v>
      </c>
      <c r="L32">
        <v>29</v>
      </c>
      <c r="M32">
        <v>31</v>
      </c>
      <c r="N32">
        <v>137.68172870000001</v>
      </c>
      <c r="W32">
        <v>1</v>
      </c>
      <c r="X32">
        <v>10</v>
      </c>
      <c r="Y32">
        <v>137.67831100000001</v>
      </c>
      <c r="Z32">
        <v>137.68172870000001</v>
      </c>
      <c r="AA32">
        <v>138.63132300000001</v>
      </c>
      <c r="AB32">
        <v>138.68124599999999</v>
      </c>
      <c r="AC32">
        <v>139.63125029999901</v>
      </c>
      <c r="AD32">
        <v>139.61464119999999</v>
      </c>
      <c r="AE32">
        <v>141.114358199999</v>
      </c>
      <c r="AF32">
        <v>141.13120749999899</v>
      </c>
      <c r="AG32">
        <v>141.13120749999899</v>
      </c>
      <c r="AH32">
        <v>141.948516699999</v>
      </c>
      <c r="AI32" t="s">
        <v>58</v>
      </c>
      <c r="AJ32">
        <v>0.81237019999997495</v>
      </c>
      <c r="AK32" t="s">
        <v>49</v>
      </c>
      <c r="AO32" t="s">
        <v>50</v>
      </c>
      <c r="AP32">
        <v>1</v>
      </c>
      <c r="AQ32" t="s">
        <v>51</v>
      </c>
      <c r="AR32" t="s">
        <v>52</v>
      </c>
      <c r="AT32" t="s">
        <v>53</v>
      </c>
      <c r="AU32">
        <v>60.047942277100802</v>
      </c>
      <c r="AV32" t="s">
        <v>54</v>
      </c>
    </row>
    <row r="33" spans="1:48" x14ac:dyDescent="0.35">
      <c r="A33">
        <v>512533</v>
      </c>
      <c r="B33" t="s">
        <v>55</v>
      </c>
      <c r="C33">
        <v>2</v>
      </c>
      <c r="D33">
        <v>30</v>
      </c>
      <c r="E33">
        <v>30</v>
      </c>
      <c r="F33">
        <v>0</v>
      </c>
      <c r="G33" t="s">
        <v>56</v>
      </c>
      <c r="H33">
        <v>1.10347449999994</v>
      </c>
      <c r="I33" t="s">
        <v>49</v>
      </c>
      <c r="J33">
        <v>0</v>
      </c>
      <c r="K33">
        <v>30</v>
      </c>
      <c r="L33">
        <v>30</v>
      </c>
      <c r="M33">
        <v>21</v>
      </c>
      <c r="N33">
        <v>141.96974319999899</v>
      </c>
      <c r="W33">
        <v>0</v>
      </c>
      <c r="X33">
        <v>0</v>
      </c>
      <c r="Y33">
        <v>141.965657999999</v>
      </c>
      <c r="Z33">
        <v>141.96974319999899</v>
      </c>
      <c r="AA33">
        <v>142.947676599999</v>
      </c>
      <c r="AB33">
        <v>142.98096899999899</v>
      </c>
      <c r="AC33">
        <v>143.94765659999899</v>
      </c>
      <c r="AD33">
        <v>143.94765659999899</v>
      </c>
      <c r="AE33">
        <v>145.44796600000001</v>
      </c>
      <c r="AF33">
        <v>145.44796600000001</v>
      </c>
      <c r="AG33">
        <v>145.44796600000001</v>
      </c>
      <c r="AH33">
        <v>146.56510259999999</v>
      </c>
      <c r="AI33" t="s">
        <v>56</v>
      </c>
      <c r="AJ33">
        <v>1.10347449999994</v>
      </c>
      <c r="AK33" t="s">
        <v>49</v>
      </c>
      <c r="AO33" t="s">
        <v>50</v>
      </c>
      <c r="AP33">
        <v>1</v>
      </c>
      <c r="AQ33" t="s">
        <v>51</v>
      </c>
      <c r="AR33" t="s">
        <v>52</v>
      </c>
      <c r="AT33" t="s">
        <v>53</v>
      </c>
      <c r="AU33">
        <v>60.047942277100802</v>
      </c>
      <c r="AV33" t="s">
        <v>54</v>
      </c>
    </row>
    <row r="34" spans="1:48" x14ac:dyDescent="0.35">
      <c r="A34">
        <v>542508</v>
      </c>
      <c r="B34" t="s">
        <v>55</v>
      </c>
      <c r="C34">
        <v>0</v>
      </c>
      <c r="D34">
        <v>31</v>
      </c>
      <c r="E34">
        <v>31</v>
      </c>
      <c r="F34">
        <v>0</v>
      </c>
      <c r="G34" t="s">
        <v>56</v>
      </c>
      <c r="H34">
        <v>0.98789399999998295</v>
      </c>
      <c r="I34" t="s">
        <v>49</v>
      </c>
      <c r="J34">
        <v>0</v>
      </c>
      <c r="K34">
        <v>31</v>
      </c>
      <c r="L34">
        <v>31</v>
      </c>
      <c r="M34">
        <v>34</v>
      </c>
      <c r="N34">
        <v>146.63057749999899</v>
      </c>
      <c r="W34">
        <v>1</v>
      </c>
      <c r="X34">
        <v>10</v>
      </c>
      <c r="Y34">
        <v>146.62719619999999</v>
      </c>
      <c r="Z34">
        <v>146.63057749999899</v>
      </c>
      <c r="AA34">
        <v>147.58114189999901</v>
      </c>
      <c r="AB34">
        <v>147.63100209999999</v>
      </c>
      <c r="AC34">
        <v>148.647485799999</v>
      </c>
      <c r="AD34">
        <v>148.647485799999</v>
      </c>
      <c r="AE34">
        <v>150.14785989999999</v>
      </c>
      <c r="AF34">
        <v>150.06437599999899</v>
      </c>
      <c r="AG34">
        <v>150.06437599999899</v>
      </c>
      <c r="AH34">
        <v>151.065173299999</v>
      </c>
      <c r="AI34" t="s">
        <v>56</v>
      </c>
      <c r="AJ34">
        <v>0.98789399999998295</v>
      </c>
      <c r="AK34" t="s">
        <v>49</v>
      </c>
      <c r="AO34" t="s">
        <v>50</v>
      </c>
      <c r="AP34">
        <v>1</v>
      </c>
      <c r="AQ34" t="s">
        <v>51</v>
      </c>
      <c r="AR34" t="s">
        <v>52</v>
      </c>
      <c r="AT34" t="s">
        <v>53</v>
      </c>
      <c r="AU34">
        <v>60.047942277100802</v>
      </c>
      <c r="AV34" t="s">
        <v>54</v>
      </c>
    </row>
    <row r="35" spans="1:48" x14ac:dyDescent="0.35">
      <c r="A35">
        <v>998332</v>
      </c>
      <c r="B35" t="s">
        <v>57</v>
      </c>
      <c r="C35">
        <v>4</v>
      </c>
      <c r="D35">
        <v>32</v>
      </c>
      <c r="E35">
        <v>32</v>
      </c>
      <c r="F35">
        <v>0</v>
      </c>
      <c r="G35" t="s">
        <v>58</v>
      </c>
      <c r="H35">
        <v>0.96534029999997895</v>
      </c>
      <c r="I35" t="s">
        <v>49</v>
      </c>
      <c r="J35">
        <v>0</v>
      </c>
      <c r="K35">
        <v>32</v>
      </c>
      <c r="L35">
        <v>32</v>
      </c>
      <c r="M35">
        <v>109</v>
      </c>
      <c r="N35">
        <v>151.082714299999</v>
      </c>
      <c r="W35">
        <v>0</v>
      </c>
      <c r="X35">
        <v>0</v>
      </c>
      <c r="Y35">
        <v>151.07893419999999</v>
      </c>
      <c r="Z35">
        <v>151.082714299999</v>
      </c>
      <c r="AA35">
        <v>152.08100930000001</v>
      </c>
      <c r="AB35">
        <v>152.09767479999999</v>
      </c>
      <c r="AC35">
        <v>153.0810396</v>
      </c>
      <c r="AD35">
        <v>153.0810396</v>
      </c>
      <c r="AE35">
        <v>154.581052599999</v>
      </c>
      <c r="AF35">
        <v>154.581052599999</v>
      </c>
      <c r="AG35">
        <v>154.581052599999</v>
      </c>
      <c r="AH35">
        <v>155.54822379999899</v>
      </c>
      <c r="AI35" t="s">
        <v>58</v>
      </c>
      <c r="AJ35">
        <v>0.96534029999997895</v>
      </c>
      <c r="AK35" t="s">
        <v>49</v>
      </c>
      <c r="AO35" t="s">
        <v>50</v>
      </c>
      <c r="AP35">
        <v>1</v>
      </c>
      <c r="AQ35" t="s">
        <v>51</v>
      </c>
      <c r="AR35" t="s">
        <v>52</v>
      </c>
      <c r="AT35" t="s">
        <v>53</v>
      </c>
      <c r="AU35">
        <v>60.047942277100802</v>
      </c>
      <c r="AV35" t="s">
        <v>54</v>
      </c>
    </row>
    <row r="36" spans="1:48" x14ac:dyDescent="0.35">
      <c r="A36">
        <v>846484</v>
      </c>
      <c r="B36" t="s">
        <v>55</v>
      </c>
      <c r="C36">
        <v>4</v>
      </c>
      <c r="D36">
        <v>33</v>
      </c>
      <c r="E36">
        <v>33</v>
      </c>
      <c r="F36">
        <v>0</v>
      </c>
      <c r="G36" t="s">
        <v>56</v>
      </c>
      <c r="H36">
        <v>0.75889599999999202</v>
      </c>
      <c r="I36" t="s">
        <v>49</v>
      </c>
      <c r="J36">
        <v>0</v>
      </c>
      <c r="K36">
        <v>33</v>
      </c>
      <c r="L36">
        <v>33</v>
      </c>
      <c r="M36">
        <v>24</v>
      </c>
      <c r="N36">
        <v>155.59991359999901</v>
      </c>
      <c r="W36">
        <v>1</v>
      </c>
      <c r="X36">
        <v>10</v>
      </c>
      <c r="Y36">
        <v>155.5962356</v>
      </c>
      <c r="Z36">
        <v>155.59991359999901</v>
      </c>
      <c r="AA36">
        <v>156.54739269999999</v>
      </c>
      <c r="AB36">
        <v>156.61407919999999</v>
      </c>
      <c r="AC36">
        <v>157.5478655</v>
      </c>
      <c r="AD36">
        <v>157.5478655</v>
      </c>
      <c r="AE36">
        <v>159.04757899999899</v>
      </c>
      <c r="AF36">
        <v>159.04757899999899</v>
      </c>
      <c r="AG36">
        <v>159.04757899999899</v>
      </c>
      <c r="AH36">
        <v>159.8150023</v>
      </c>
      <c r="AI36" t="s">
        <v>56</v>
      </c>
      <c r="AJ36">
        <v>0.75889599999999202</v>
      </c>
      <c r="AK36" t="s">
        <v>49</v>
      </c>
      <c r="AO36" t="s">
        <v>50</v>
      </c>
      <c r="AP36">
        <v>1</v>
      </c>
      <c r="AQ36" t="s">
        <v>51</v>
      </c>
      <c r="AR36" t="s">
        <v>52</v>
      </c>
      <c r="AT36" t="s">
        <v>53</v>
      </c>
      <c r="AU36">
        <v>60.047942277100802</v>
      </c>
      <c r="AV36" t="s">
        <v>54</v>
      </c>
    </row>
    <row r="37" spans="1:48" x14ac:dyDescent="0.35">
      <c r="A37">
        <v>809379</v>
      </c>
      <c r="B37" t="s">
        <v>57</v>
      </c>
      <c r="C37">
        <v>2</v>
      </c>
      <c r="D37">
        <v>34</v>
      </c>
      <c r="E37">
        <v>34</v>
      </c>
      <c r="F37">
        <v>0</v>
      </c>
      <c r="G37" t="s">
        <v>58</v>
      </c>
      <c r="H37">
        <v>0.78387979999996504</v>
      </c>
      <c r="I37" t="s">
        <v>49</v>
      </c>
      <c r="J37">
        <v>0</v>
      </c>
      <c r="K37">
        <v>34</v>
      </c>
      <c r="L37">
        <v>34</v>
      </c>
      <c r="M37">
        <v>94</v>
      </c>
      <c r="N37">
        <v>159.83127739999901</v>
      </c>
      <c r="W37">
        <v>0</v>
      </c>
      <c r="X37">
        <v>0</v>
      </c>
      <c r="Y37">
        <v>159.827789899999</v>
      </c>
      <c r="Z37">
        <v>159.83127739999901</v>
      </c>
      <c r="AA37">
        <v>160.81436629999899</v>
      </c>
      <c r="AB37">
        <v>160.830715</v>
      </c>
      <c r="AC37">
        <v>161.81400259999899</v>
      </c>
      <c r="AD37">
        <v>161.83074249999899</v>
      </c>
      <c r="AE37">
        <v>163.3310189</v>
      </c>
      <c r="AF37">
        <v>163.31430419999899</v>
      </c>
      <c r="AG37">
        <v>163.31430419999899</v>
      </c>
      <c r="AH37">
        <v>164.11608639999901</v>
      </c>
      <c r="AI37" t="s">
        <v>58</v>
      </c>
      <c r="AJ37">
        <v>0.78387979999996504</v>
      </c>
      <c r="AK37" t="s">
        <v>49</v>
      </c>
      <c r="AO37" t="s">
        <v>50</v>
      </c>
      <c r="AP37">
        <v>1</v>
      </c>
      <c r="AQ37" t="s">
        <v>51</v>
      </c>
      <c r="AR37" t="s">
        <v>52</v>
      </c>
      <c r="AT37" t="s">
        <v>53</v>
      </c>
      <c r="AU37">
        <v>60.047942277100802</v>
      </c>
      <c r="AV37" t="s">
        <v>54</v>
      </c>
    </row>
    <row r="38" spans="1:48" x14ac:dyDescent="0.35">
      <c r="A38">
        <v>923442</v>
      </c>
      <c r="B38" t="s">
        <v>55</v>
      </c>
      <c r="C38">
        <v>3</v>
      </c>
      <c r="D38">
        <v>35</v>
      </c>
      <c r="E38">
        <v>35</v>
      </c>
      <c r="F38">
        <v>0</v>
      </c>
      <c r="G38" t="s">
        <v>56</v>
      </c>
      <c r="H38">
        <v>1.6769700999999999</v>
      </c>
      <c r="I38" t="s">
        <v>49</v>
      </c>
      <c r="J38">
        <v>0</v>
      </c>
      <c r="K38">
        <v>35</v>
      </c>
      <c r="L38">
        <v>35</v>
      </c>
      <c r="M38">
        <v>45</v>
      </c>
      <c r="N38">
        <v>164.1768859</v>
      </c>
      <c r="W38">
        <v>1</v>
      </c>
      <c r="X38">
        <v>10</v>
      </c>
      <c r="Y38">
        <v>164.17412849999999</v>
      </c>
      <c r="Z38">
        <v>164.1768859</v>
      </c>
      <c r="AA38">
        <v>165.13063080000001</v>
      </c>
      <c r="AB38">
        <v>165.180853799999</v>
      </c>
      <c r="AC38">
        <v>166.13104729999901</v>
      </c>
      <c r="AD38">
        <v>166.13104729999901</v>
      </c>
      <c r="AE38">
        <v>167.63077959999899</v>
      </c>
      <c r="AF38">
        <v>167.63077959999899</v>
      </c>
      <c r="AG38">
        <v>167.63077959999899</v>
      </c>
      <c r="AH38">
        <v>169.31465539999999</v>
      </c>
      <c r="AI38" t="s">
        <v>56</v>
      </c>
      <c r="AJ38">
        <v>1.6769700999999999</v>
      </c>
      <c r="AK38" t="s">
        <v>49</v>
      </c>
      <c r="AO38" t="s">
        <v>50</v>
      </c>
      <c r="AP38">
        <v>1</v>
      </c>
      <c r="AQ38" t="s">
        <v>51</v>
      </c>
      <c r="AR38" t="s">
        <v>52</v>
      </c>
      <c r="AT38" t="s">
        <v>53</v>
      </c>
      <c r="AU38">
        <v>60.047942277100802</v>
      </c>
      <c r="AV38" t="s">
        <v>54</v>
      </c>
    </row>
    <row r="39" spans="1:48" x14ac:dyDescent="0.35">
      <c r="A39">
        <v>823136</v>
      </c>
      <c r="B39" t="s">
        <v>57</v>
      </c>
      <c r="C39">
        <v>4</v>
      </c>
      <c r="D39">
        <v>36</v>
      </c>
      <c r="E39">
        <v>36</v>
      </c>
      <c r="F39">
        <v>0</v>
      </c>
      <c r="G39" t="s">
        <v>58</v>
      </c>
      <c r="H39">
        <v>0.62317899999999304</v>
      </c>
      <c r="I39" t="s">
        <v>49</v>
      </c>
      <c r="J39">
        <v>0</v>
      </c>
      <c r="K39">
        <v>36</v>
      </c>
      <c r="L39">
        <v>36</v>
      </c>
      <c r="M39">
        <v>74</v>
      </c>
      <c r="N39">
        <v>169.3860712</v>
      </c>
      <c r="W39">
        <v>1</v>
      </c>
      <c r="X39">
        <v>10</v>
      </c>
      <c r="Y39">
        <v>169.38072099999999</v>
      </c>
      <c r="Z39">
        <v>169.3860712</v>
      </c>
      <c r="AA39">
        <v>170.31401210000001</v>
      </c>
      <c r="AB39">
        <v>170.39736959999999</v>
      </c>
      <c r="AC39">
        <v>171.31389489999901</v>
      </c>
      <c r="AD39">
        <v>171.31389489999901</v>
      </c>
      <c r="AE39">
        <v>172.81391350000001</v>
      </c>
      <c r="AF39">
        <v>172.81391350000001</v>
      </c>
      <c r="AG39">
        <v>172.81391350000001</v>
      </c>
      <c r="AH39">
        <v>173.44820549999901</v>
      </c>
      <c r="AI39" t="s">
        <v>58</v>
      </c>
      <c r="AJ39">
        <v>0.62317899999999304</v>
      </c>
      <c r="AK39" t="s">
        <v>49</v>
      </c>
      <c r="AO39" t="s">
        <v>50</v>
      </c>
      <c r="AP39">
        <v>1</v>
      </c>
      <c r="AQ39" t="s">
        <v>51</v>
      </c>
      <c r="AR39" t="s">
        <v>52</v>
      </c>
      <c r="AT39" t="s">
        <v>53</v>
      </c>
      <c r="AU39">
        <v>60.047942277100802</v>
      </c>
      <c r="AV39" t="s">
        <v>54</v>
      </c>
    </row>
    <row r="40" spans="1:48" x14ac:dyDescent="0.35">
      <c r="A40">
        <v>548223</v>
      </c>
      <c r="B40" t="s">
        <v>55</v>
      </c>
      <c r="C40">
        <v>5</v>
      </c>
      <c r="D40">
        <v>37</v>
      </c>
      <c r="E40">
        <v>37</v>
      </c>
      <c r="F40">
        <v>0</v>
      </c>
      <c r="G40" t="s">
        <v>56</v>
      </c>
      <c r="H40">
        <v>0.95685079999998301</v>
      </c>
      <c r="I40" t="s">
        <v>49</v>
      </c>
      <c r="J40">
        <v>0</v>
      </c>
      <c r="K40">
        <v>37</v>
      </c>
      <c r="L40">
        <v>37</v>
      </c>
      <c r="M40">
        <v>68</v>
      </c>
      <c r="N40">
        <v>173.50860319999899</v>
      </c>
      <c r="W40">
        <v>1</v>
      </c>
      <c r="X40">
        <v>10</v>
      </c>
      <c r="Y40">
        <v>173.50494029999999</v>
      </c>
      <c r="Z40">
        <v>173.50860319999899</v>
      </c>
      <c r="AA40">
        <v>174.46401959999901</v>
      </c>
      <c r="AB40">
        <v>174.513825099999</v>
      </c>
      <c r="AC40">
        <v>175.46390509999901</v>
      </c>
      <c r="AD40">
        <v>175.46390509999901</v>
      </c>
      <c r="AE40">
        <v>176.97069870000001</v>
      </c>
      <c r="AF40">
        <v>176.97069870000001</v>
      </c>
      <c r="AG40">
        <v>176.97069870000001</v>
      </c>
      <c r="AH40">
        <v>177.93111679999899</v>
      </c>
      <c r="AI40" t="s">
        <v>56</v>
      </c>
      <c r="AJ40">
        <v>0.95685079999998301</v>
      </c>
      <c r="AK40" t="s">
        <v>49</v>
      </c>
      <c r="AO40" t="s">
        <v>50</v>
      </c>
      <c r="AP40">
        <v>1</v>
      </c>
      <c r="AQ40" t="s">
        <v>51</v>
      </c>
      <c r="AR40" t="s">
        <v>52</v>
      </c>
      <c r="AT40" t="s">
        <v>53</v>
      </c>
      <c r="AU40">
        <v>60.047942277100802</v>
      </c>
      <c r="AV40" t="s">
        <v>54</v>
      </c>
    </row>
    <row r="41" spans="1:48" x14ac:dyDescent="0.35">
      <c r="A41">
        <v>331447</v>
      </c>
      <c r="B41" t="s">
        <v>55</v>
      </c>
      <c r="C41">
        <v>4</v>
      </c>
      <c r="D41">
        <v>38</v>
      </c>
      <c r="E41">
        <v>38</v>
      </c>
      <c r="F41">
        <v>0</v>
      </c>
      <c r="G41" t="s">
        <v>56</v>
      </c>
      <c r="H41">
        <v>0.81929609999997399</v>
      </c>
      <c r="I41" t="s">
        <v>49</v>
      </c>
      <c r="J41">
        <v>0</v>
      </c>
      <c r="K41">
        <v>38</v>
      </c>
      <c r="L41">
        <v>38</v>
      </c>
      <c r="M41">
        <v>91</v>
      </c>
      <c r="N41">
        <v>177.99737540000001</v>
      </c>
      <c r="W41">
        <v>1</v>
      </c>
      <c r="X41">
        <v>10</v>
      </c>
      <c r="Y41">
        <v>177.99407459999901</v>
      </c>
      <c r="Z41">
        <v>177.99737540000001</v>
      </c>
      <c r="AA41">
        <v>178.93063069999999</v>
      </c>
      <c r="AB41">
        <v>178.997511699999</v>
      </c>
      <c r="AC41">
        <v>179.93060639999999</v>
      </c>
      <c r="AD41">
        <v>179.93060639999999</v>
      </c>
      <c r="AE41">
        <v>181.4302902</v>
      </c>
      <c r="AF41">
        <v>181.44734779999999</v>
      </c>
      <c r="AG41">
        <v>181.44734779999999</v>
      </c>
      <c r="AH41">
        <v>182.28103449999901</v>
      </c>
      <c r="AI41" t="s">
        <v>56</v>
      </c>
      <c r="AJ41">
        <v>0.81929609999997399</v>
      </c>
      <c r="AK41" t="s">
        <v>49</v>
      </c>
      <c r="AO41" t="s">
        <v>50</v>
      </c>
      <c r="AP41">
        <v>1</v>
      </c>
      <c r="AQ41" t="s">
        <v>51</v>
      </c>
      <c r="AR41" t="s">
        <v>52</v>
      </c>
      <c r="AT41" t="s">
        <v>53</v>
      </c>
      <c r="AU41">
        <v>60.047942277100802</v>
      </c>
      <c r="AV41" t="s">
        <v>54</v>
      </c>
    </row>
    <row r="42" spans="1:48" x14ac:dyDescent="0.35">
      <c r="A42">
        <v>485762</v>
      </c>
      <c r="B42" t="s">
        <v>55</v>
      </c>
      <c r="C42">
        <v>7</v>
      </c>
      <c r="D42">
        <v>39</v>
      </c>
      <c r="E42">
        <v>39</v>
      </c>
      <c r="F42">
        <v>0</v>
      </c>
      <c r="G42" t="s">
        <v>56</v>
      </c>
      <c r="H42">
        <v>0.90996460000002299</v>
      </c>
      <c r="I42" t="s">
        <v>49</v>
      </c>
      <c r="J42">
        <v>0</v>
      </c>
      <c r="K42">
        <v>39</v>
      </c>
      <c r="L42">
        <v>39</v>
      </c>
      <c r="M42">
        <v>149</v>
      </c>
      <c r="N42">
        <v>182.33863980000001</v>
      </c>
      <c r="W42">
        <v>1</v>
      </c>
      <c r="X42">
        <v>10</v>
      </c>
      <c r="Y42">
        <v>182.3349523</v>
      </c>
      <c r="Z42">
        <v>182.33863980000001</v>
      </c>
      <c r="AA42">
        <v>183.28039949999999</v>
      </c>
      <c r="AB42">
        <v>183.34731740000001</v>
      </c>
      <c r="AC42">
        <v>184.280467399999</v>
      </c>
      <c r="AD42">
        <v>184.280467399999</v>
      </c>
      <c r="AE42">
        <v>185.78080649999899</v>
      </c>
      <c r="AF42">
        <v>185.78080649999899</v>
      </c>
      <c r="AG42">
        <v>185.78080649999899</v>
      </c>
      <c r="AH42">
        <v>186.697867999999</v>
      </c>
      <c r="AI42" t="s">
        <v>56</v>
      </c>
      <c r="AJ42">
        <v>0.90996460000002299</v>
      </c>
      <c r="AK42" t="s">
        <v>49</v>
      </c>
      <c r="AO42" t="s">
        <v>50</v>
      </c>
      <c r="AP42">
        <v>1</v>
      </c>
      <c r="AQ42" t="s">
        <v>51</v>
      </c>
      <c r="AR42" t="s">
        <v>52</v>
      </c>
      <c r="AT42" t="s">
        <v>53</v>
      </c>
      <c r="AU42">
        <v>60.047942277100802</v>
      </c>
      <c r="AV42" t="s">
        <v>54</v>
      </c>
    </row>
    <row r="43" spans="1:48" x14ac:dyDescent="0.35">
      <c r="A43">
        <v>294906</v>
      </c>
      <c r="B43" t="s">
        <v>55</v>
      </c>
      <c r="C43">
        <v>2</v>
      </c>
      <c r="D43">
        <v>40</v>
      </c>
      <c r="E43">
        <v>40</v>
      </c>
      <c r="F43">
        <v>0</v>
      </c>
      <c r="G43" t="s">
        <v>56</v>
      </c>
      <c r="H43">
        <v>0.68908600000003095</v>
      </c>
      <c r="I43" t="s">
        <v>49</v>
      </c>
      <c r="J43">
        <v>0</v>
      </c>
      <c r="K43">
        <v>40</v>
      </c>
      <c r="L43">
        <v>40</v>
      </c>
      <c r="M43">
        <v>3</v>
      </c>
      <c r="N43">
        <v>186.75912729999999</v>
      </c>
      <c r="W43">
        <v>1</v>
      </c>
      <c r="X43">
        <v>10</v>
      </c>
      <c r="Y43">
        <v>186.7553618</v>
      </c>
      <c r="Z43">
        <v>186.75912729999999</v>
      </c>
      <c r="AA43">
        <v>187.6969881</v>
      </c>
      <c r="AB43">
        <v>187.76369529999999</v>
      </c>
      <c r="AC43">
        <v>188.69704100000001</v>
      </c>
      <c r="AD43">
        <v>188.69704100000001</v>
      </c>
      <c r="AE43">
        <v>190.19688249999899</v>
      </c>
      <c r="AF43">
        <v>190.21366419999899</v>
      </c>
      <c r="AG43">
        <v>190.21366419999899</v>
      </c>
      <c r="AH43">
        <v>190.91421769999999</v>
      </c>
      <c r="AI43" t="s">
        <v>56</v>
      </c>
      <c r="AJ43">
        <v>0.68908600000003095</v>
      </c>
      <c r="AK43" t="s">
        <v>49</v>
      </c>
      <c r="AO43" t="s">
        <v>50</v>
      </c>
      <c r="AP43">
        <v>1</v>
      </c>
      <c r="AQ43" t="s">
        <v>51</v>
      </c>
      <c r="AR43" t="s">
        <v>52</v>
      </c>
      <c r="AT43" t="s">
        <v>53</v>
      </c>
      <c r="AU43">
        <v>60.047942277100802</v>
      </c>
      <c r="AV43" t="s">
        <v>54</v>
      </c>
    </row>
    <row r="44" spans="1:48" x14ac:dyDescent="0.35">
      <c r="A44">
        <v>279161</v>
      </c>
      <c r="B44" t="s">
        <v>55</v>
      </c>
      <c r="C44">
        <v>1</v>
      </c>
      <c r="D44">
        <v>41</v>
      </c>
      <c r="E44">
        <v>41</v>
      </c>
      <c r="F44">
        <v>0</v>
      </c>
      <c r="G44" t="s">
        <v>56</v>
      </c>
      <c r="H44">
        <v>0.76314509999997404</v>
      </c>
      <c r="I44" t="s">
        <v>49</v>
      </c>
      <c r="J44">
        <v>0</v>
      </c>
      <c r="K44">
        <v>41</v>
      </c>
      <c r="L44">
        <v>41</v>
      </c>
      <c r="M44">
        <v>7</v>
      </c>
      <c r="N44">
        <v>190.9305028</v>
      </c>
      <c r="W44">
        <v>0</v>
      </c>
      <c r="X44">
        <v>0</v>
      </c>
      <c r="Y44">
        <v>190.927331699999</v>
      </c>
      <c r="Z44">
        <v>190.9305028</v>
      </c>
      <c r="AA44">
        <v>191.91369659999901</v>
      </c>
      <c r="AB44">
        <v>191.93048110000001</v>
      </c>
      <c r="AC44">
        <v>192.913453</v>
      </c>
      <c r="AD44">
        <v>192.913453</v>
      </c>
      <c r="AE44">
        <v>194.41406559999899</v>
      </c>
      <c r="AF44">
        <v>194.41406559999899</v>
      </c>
      <c r="AG44">
        <v>194.41406559999899</v>
      </c>
      <c r="AH44">
        <v>195.18079940000001</v>
      </c>
      <c r="AI44" t="s">
        <v>56</v>
      </c>
      <c r="AJ44">
        <v>0.76314509999997404</v>
      </c>
      <c r="AK44" t="s">
        <v>49</v>
      </c>
      <c r="AO44" t="s">
        <v>50</v>
      </c>
      <c r="AP44">
        <v>1</v>
      </c>
      <c r="AQ44" t="s">
        <v>51</v>
      </c>
      <c r="AR44" t="s">
        <v>52</v>
      </c>
      <c r="AT44" t="s">
        <v>53</v>
      </c>
      <c r="AU44">
        <v>60.047942277100802</v>
      </c>
      <c r="AV44" t="s">
        <v>54</v>
      </c>
    </row>
    <row r="45" spans="1:48" x14ac:dyDescent="0.35">
      <c r="A45">
        <v>197206</v>
      </c>
      <c r="B45" t="s">
        <v>57</v>
      </c>
      <c r="C45">
        <v>2</v>
      </c>
      <c r="D45">
        <v>42</v>
      </c>
      <c r="E45">
        <v>42</v>
      </c>
      <c r="F45">
        <v>0</v>
      </c>
      <c r="G45" t="s">
        <v>56</v>
      </c>
      <c r="H45">
        <v>0.94663770000005298</v>
      </c>
      <c r="I45" t="s">
        <v>49</v>
      </c>
      <c r="J45">
        <v>0</v>
      </c>
      <c r="K45">
        <v>42</v>
      </c>
      <c r="L45">
        <v>42</v>
      </c>
      <c r="M45">
        <v>102</v>
      </c>
      <c r="N45">
        <v>195.2515224</v>
      </c>
      <c r="W45">
        <v>1</v>
      </c>
      <c r="X45">
        <v>10</v>
      </c>
      <c r="Y45">
        <v>195.24825870000001</v>
      </c>
      <c r="Z45">
        <v>195.2515224</v>
      </c>
      <c r="AA45">
        <v>196.18026169999899</v>
      </c>
      <c r="AB45">
        <v>196.26373799999999</v>
      </c>
      <c r="AC45">
        <v>197.18000749999999</v>
      </c>
      <c r="AD45">
        <v>197.18000749999999</v>
      </c>
      <c r="AE45">
        <v>198.6804052</v>
      </c>
      <c r="AF45">
        <v>198.6804052</v>
      </c>
      <c r="AG45">
        <v>198.6804052</v>
      </c>
      <c r="AH45">
        <v>199.63086519999899</v>
      </c>
      <c r="AI45" t="s">
        <v>56</v>
      </c>
      <c r="AJ45">
        <v>0.94663770000005298</v>
      </c>
      <c r="AK45" t="s">
        <v>49</v>
      </c>
      <c r="AO45" t="s">
        <v>50</v>
      </c>
      <c r="AP45">
        <v>1</v>
      </c>
      <c r="AQ45" t="s">
        <v>51</v>
      </c>
      <c r="AR45" t="s">
        <v>52</v>
      </c>
      <c r="AT45" t="s">
        <v>53</v>
      </c>
      <c r="AU45">
        <v>60.047942277100802</v>
      </c>
      <c r="AV45" t="s">
        <v>54</v>
      </c>
    </row>
    <row r="46" spans="1:48" x14ac:dyDescent="0.35">
      <c r="A46">
        <v>879045</v>
      </c>
      <c r="B46" t="s">
        <v>55</v>
      </c>
      <c r="C46">
        <v>4</v>
      </c>
      <c r="D46">
        <v>43</v>
      </c>
      <c r="E46">
        <v>43</v>
      </c>
      <c r="F46">
        <v>0</v>
      </c>
      <c r="G46" t="s">
        <v>58</v>
      </c>
      <c r="H46">
        <v>1.0158263999999799</v>
      </c>
      <c r="I46" t="s">
        <v>49</v>
      </c>
      <c r="J46">
        <v>0</v>
      </c>
      <c r="K46">
        <v>43</v>
      </c>
      <c r="L46">
        <v>43</v>
      </c>
      <c r="M46">
        <v>51</v>
      </c>
      <c r="N46">
        <v>199.69254810000001</v>
      </c>
      <c r="W46">
        <v>1</v>
      </c>
      <c r="X46">
        <v>10</v>
      </c>
      <c r="Y46">
        <v>199.68900969999899</v>
      </c>
      <c r="Z46">
        <v>199.69254810000001</v>
      </c>
      <c r="AA46">
        <v>200.63033569999999</v>
      </c>
      <c r="AB46">
        <v>200.696885299999</v>
      </c>
      <c r="AC46">
        <v>201.63016279999999</v>
      </c>
      <c r="AD46">
        <v>201.63016279999999</v>
      </c>
      <c r="AE46">
        <v>203.13034169999901</v>
      </c>
      <c r="AF46">
        <v>203.13034169999901</v>
      </c>
      <c r="AG46">
        <v>203.13034169999901</v>
      </c>
      <c r="AH46">
        <v>204.14763160000001</v>
      </c>
      <c r="AI46" t="s">
        <v>58</v>
      </c>
      <c r="AJ46">
        <v>1.0158263999999799</v>
      </c>
      <c r="AK46" t="s">
        <v>49</v>
      </c>
      <c r="AO46" t="s">
        <v>50</v>
      </c>
      <c r="AP46">
        <v>1</v>
      </c>
      <c r="AQ46" t="s">
        <v>51</v>
      </c>
      <c r="AR46" t="s">
        <v>52</v>
      </c>
      <c r="AT46" t="s">
        <v>53</v>
      </c>
      <c r="AU46">
        <v>60.047942277100802</v>
      </c>
      <c r="AV46" t="s">
        <v>54</v>
      </c>
    </row>
    <row r="47" spans="1:48" x14ac:dyDescent="0.35">
      <c r="A47">
        <v>379254</v>
      </c>
      <c r="B47" t="s">
        <v>57</v>
      </c>
      <c r="C47">
        <v>1</v>
      </c>
      <c r="D47">
        <v>44</v>
      </c>
      <c r="E47">
        <v>44</v>
      </c>
      <c r="F47">
        <v>0</v>
      </c>
      <c r="G47" t="s">
        <v>58</v>
      </c>
      <c r="H47">
        <v>0.75210649999996804</v>
      </c>
      <c r="I47" t="s">
        <v>49</v>
      </c>
      <c r="J47">
        <v>0</v>
      </c>
      <c r="K47">
        <v>44</v>
      </c>
      <c r="L47">
        <v>44</v>
      </c>
      <c r="M47">
        <v>125</v>
      </c>
      <c r="N47">
        <v>204.17116379999999</v>
      </c>
      <c r="W47">
        <v>0</v>
      </c>
      <c r="X47">
        <v>0</v>
      </c>
      <c r="Y47">
        <v>204.16639900000001</v>
      </c>
      <c r="Z47">
        <v>204.17116379999999</v>
      </c>
      <c r="AA47">
        <v>205.16344989999999</v>
      </c>
      <c r="AB47">
        <v>205.18011050000001</v>
      </c>
      <c r="AC47">
        <v>206.16344770000001</v>
      </c>
      <c r="AD47">
        <v>206.16344770000001</v>
      </c>
      <c r="AE47">
        <v>207.66362939999999</v>
      </c>
      <c r="AF47">
        <v>207.66362939999999</v>
      </c>
      <c r="AG47">
        <v>207.66362939999999</v>
      </c>
      <c r="AH47">
        <v>208.43144899999999</v>
      </c>
      <c r="AI47" t="s">
        <v>58</v>
      </c>
      <c r="AJ47">
        <v>0.75210649999996804</v>
      </c>
      <c r="AK47" t="s">
        <v>49</v>
      </c>
      <c r="AO47" t="s">
        <v>50</v>
      </c>
      <c r="AP47">
        <v>1</v>
      </c>
      <c r="AQ47" t="s">
        <v>51</v>
      </c>
      <c r="AR47" t="s">
        <v>52</v>
      </c>
      <c r="AT47" t="s">
        <v>53</v>
      </c>
      <c r="AU47">
        <v>60.047942277100802</v>
      </c>
      <c r="AV47" t="s">
        <v>54</v>
      </c>
    </row>
    <row r="48" spans="1:48" x14ac:dyDescent="0.35">
      <c r="A48">
        <v>983051</v>
      </c>
      <c r="B48" t="s">
        <v>55</v>
      </c>
      <c r="C48">
        <v>9</v>
      </c>
      <c r="D48">
        <v>45</v>
      </c>
      <c r="E48">
        <v>45</v>
      </c>
      <c r="F48">
        <v>0</v>
      </c>
      <c r="G48" t="s">
        <v>56</v>
      </c>
      <c r="H48">
        <v>0.75149360000000298</v>
      </c>
      <c r="I48" t="s">
        <v>49</v>
      </c>
      <c r="J48">
        <v>0</v>
      </c>
      <c r="K48">
        <v>45</v>
      </c>
      <c r="L48">
        <v>45</v>
      </c>
      <c r="M48">
        <v>93</v>
      </c>
      <c r="N48">
        <v>208.449921799999</v>
      </c>
      <c r="W48">
        <v>0</v>
      </c>
      <c r="X48">
        <v>0</v>
      </c>
      <c r="Y48">
        <v>208.44662899999901</v>
      </c>
      <c r="Z48">
        <v>208.449921799999</v>
      </c>
      <c r="AA48">
        <v>209.44673069999999</v>
      </c>
      <c r="AB48">
        <v>209.46352769999999</v>
      </c>
      <c r="AC48">
        <v>210.44682309999899</v>
      </c>
      <c r="AD48">
        <v>210.44682309999899</v>
      </c>
      <c r="AE48">
        <v>211.94661839999901</v>
      </c>
      <c r="AF48">
        <v>211.94661839999901</v>
      </c>
      <c r="AG48">
        <v>211.94661839999901</v>
      </c>
      <c r="AH48">
        <v>212.71410599999899</v>
      </c>
      <c r="AI48" t="s">
        <v>56</v>
      </c>
      <c r="AJ48">
        <v>0.75149360000000298</v>
      </c>
      <c r="AK48" t="s">
        <v>49</v>
      </c>
      <c r="AO48" t="s">
        <v>50</v>
      </c>
      <c r="AP48">
        <v>1</v>
      </c>
      <c r="AQ48" t="s">
        <v>51</v>
      </c>
      <c r="AR48" t="s">
        <v>52</v>
      </c>
      <c r="AT48" t="s">
        <v>53</v>
      </c>
      <c r="AU48">
        <v>60.047942277100802</v>
      </c>
      <c r="AV48" t="s">
        <v>54</v>
      </c>
    </row>
    <row r="49" spans="1:48" x14ac:dyDescent="0.35">
      <c r="A49">
        <v>367005</v>
      </c>
      <c r="B49" t="s">
        <v>55</v>
      </c>
      <c r="C49">
        <v>7</v>
      </c>
      <c r="D49">
        <v>46</v>
      </c>
      <c r="E49">
        <v>46</v>
      </c>
      <c r="F49">
        <v>0</v>
      </c>
      <c r="G49" t="s">
        <v>56</v>
      </c>
      <c r="H49">
        <v>0.84361139999998602</v>
      </c>
      <c r="I49" t="s">
        <v>49</v>
      </c>
      <c r="J49">
        <v>0</v>
      </c>
      <c r="K49">
        <v>46</v>
      </c>
      <c r="L49">
        <v>46</v>
      </c>
      <c r="M49">
        <v>99</v>
      </c>
      <c r="N49">
        <v>212.731358</v>
      </c>
      <c r="W49">
        <v>0</v>
      </c>
      <c r="X49">
        <v>0</v>
      </c>
      <c r="Y49">
        <v>212.72805049999999</v>
      </c>
      <c r="Z49">
        <v>212.731358</v>
      </c>
      <c r="AA49">
        <v>213.72998769999899</v>
      </c>
      <c r="AB49">
        <v>213.74643119999899</v>
      </c>
      <c r="AC49">
        <v>214.7297686</v>
      </c>
      <c r="AD49">
        <v>214.7297686</v>
      </c>
      <c r="AE49">
        <v>216.229939</v>
      </c>
      <c r="AF49">
        <v>216.229939</v>
      </c>
      <c r="AG49">
        <v>216.229939</v>
      </c>
      <c r="AH49">
        <v>217.0808217</v>
      </c>
      <c r="AI49" t="s">
        <v>56</v>
      </c>
      <c r="AJ49">
        <v>0.84361139999998602</v>
      </c>
      <c r="AK49" t="s">
        <v>49</v>
      </c>
      <c r="AO49" t="s">
        <v>50</v>
      </c>
      <c r="AP49">
        <v>1</v>
      </c>
      <c r="AQ49" t="s">
        <v>51</v>
      </c>
      <c r="AR49" t="s">
        <v>52</v>
      </c>
      <c r="AT49" t="s">
        <v>53</v>
      </c>
      <c r="AU49">
        <v>60.047942277100802</v>
      </c>
      <c r="AV49" t="s">
        <v>54</v>
      </c>
    </row>
    <row r="50" spans="1:48" x14ac:dyDescent="0.35">
      <c r="A50">
        <v>374959</v>
      </c>
      <c r="B50" t="s">
        <v>57</v>
      </c>
      <c r="C50">
        <v>5</v>
      </c>
      <c r="D50">
        <v>47</v>
      </c>
      <c r="E50">
        <v>47</v>
      </c>
      <c r="F50">
        <v>0</v>
      </c>
      <c r="G50" t="s">
        <v>58</v>
      </c>
      <c r="H50">
        <v>0.70224739999997599</v>
      </c>
      <c r="I50" t="s">
        <v>49</v>
      </c>
      <c r="J50">
        <v>0</v>
      </c>
      <c r="K50">
        <v>47</v>
      </c>
      <c r="L50">
        <v>47</v>
      </c>
      <c r="M50">
        <v>115</v>
      </c>
      <c r="N50">
        <v>217.09630670000001</v>
      </c>
      <c r="W50">
        <v>0</v>
      </c>
      <c r="X50">
        <v>0</v>
      </c>
      <c r="Y50">
        <v>217.09253050000001</v>
      </c>
      <c r="Z50">
        <v>217.09630670000001</v>
      </c>
      <c r="AA50">
        <v>218.07991049999899</v>
      </c>
      <c r="AB50">
        <v>218.0964985</v>
      </c>
      <c r="AC50">
        <v>219.07979230000001</v>
      </c>
      <c r="AD50">
        <v>219.07979230000001</v>
      </c>
      <c r="AE50">
        <v>220.58000199999901</v>
      </c>
      <c r="AF50">
        <v>220.58000199999901</v>
      </c>
      <c r="AG50">
        <v>220.58000199999901</v>
      </c>
      <c r="AH50">
        <v>221.29740909999899</v>
      </c>
      <c r="AI50" t="s">
        <v>58</v>
      </c>
      <c r="AJ50">
        <v>0.70224739999997599</v>
      </c>
      <c r="AK50" t="s">
        <v>49</v>
      </c>
      <c r="AO50" t="s">
        <v>50</v>
      </c>
      <c r="AP50">
        <v>1</v>
      </c>
      <c r="AQ50" t="s">
        <v>51</v>
      </c>
      <c r="AR50" t="s">
        <v>52</v>
      </c>
      <c r="AT50" t="s">
        <v>53</v>
      </c>
      <c r="AU50">
        <v>60.047942277100802</v>
      </c>
      <c r="AV50" t="s">
        <v>54</v>
      </c>
    </row>
    <row r="51" spans="1:48" x14ac:dyDescent="0.35">
      <c r="A51">
        <v>483280</v>
      </c>
      <c r="B51" t="s">
        <v>55</v>
      </c>
      <c r="C51">
        <v>8</v>
      </c>
      <c r="D51">
        <v>48</v>
      </c>
      <c r="E51">
        <v>48</v>
      </c>
      <c r="F51">
        <v>0</v>
      </c>
      <c r="G51" t="s">
        <v>56</v>
      </c>
      <c r="H51">
        <v>0.74880330000002004</v>
      </c>
      <c r="I51" t="s">
        <v>49</v>
      </c>
      <c r="J51">
        <v>0</v>
      </c>
      <c r="K51">
        <v>48</v>
      </c>
      <c r="L51">
        <v>48</v>
      </c>
      <c r="M51">
        <v>33</v>
      </c>
      <c r="N51">
        <v>221.31795779999999</v>
      </c>
      <c r="W51">
        <v>0</v>
      </c>
      <c r="X51">
        <v>0</v>
      </c>
      <c r="Y51">
        <v>221.31377629999901</v>
      </c>
      <c r="Z51">
        <v>221.31795779999999</v>
      </c>
      <c r="AA51">
        <v>222.31334459999999</v>
      </c>
      <c r="AB51">
        <v>222.32980749999899</v>
      </c>
      <c r="AC51">
        <v>223.31312019999999</v>
      </c>
      <c r="AD51">
        <v>223.29629979999899</v>
      </c>
      <c r="AE51">
        <v>224.79629410000001</v>
      </c>
      <c r="AF51">
        <v>224.8132549</v>
      </c>
      <c r="AG51">
        <v>224.8132549</v>
      </c>
      <c r="AH51">
        <v>225.5638194</v>
      </c>
      <c r="AI51" t="s">
        <v>56</v>
      </c>
      <c r="AJ51">
        <v>0.74880330000002004</v>
      </c>
      <c r="AK51" t="s">
        <v>49</v>
      </c>
      <c r="AO51" t="s">
        <v>50</v>
      </c>
      <c r="AP51">
        <v>1</v>
      </c>
      <c r="AQ51" t="s">
        <v>51</v>
      </c>
      <c r="AR51" t="s">
        <v>52</v>
      </c>
      <c r="AT51" t="s">
        <v>53</v>
      </c>
      <c r="AU51">
        <v>60.047942277100802</v>
      </c>
      <c r="AV51" t="s">
        <v>54</v>
      </c>
    </row>
    <row r="52" spans="1:48" x14ac:dyDescent="0.35">
      <c r="A52">
        <v>878636</v>
      </c>
      <c r="B52" t="s">
        <v>57</v>
      </c>
      <c r="C52">
        <v>0</v>
      </c>
      <c r="D52">
        <v>49</v>
      </c>
      <c r="E52">
        <v>49</v>
      </c>
      <c r="F52">
        <v>0</v>
      </c>
      <c r="G52" t="s">
        <v>58</v>
      </c>
      <c r="H52">
        <v>0.89257809999997995</v>
      </c>
      <c r="I52" t="s">
        <v>49</v>
      </c>
      <c r="J52">
        <v>0</v>
      </c>
      <c r="K52">
        <v>49</v>
      </c>
      <c r="L52">
        <v>49</v>
      </c>
      <c r="M52">
        <v>95</v>
      </c>
      <c r="N52">
        <v>225.62847599999901</v>
      </c>
      <c r="W52">
        <v>1</v>
      </c>
      <c r="X52">
        <v>10</v>
      </c>
      <c r="Y52">
        <v>225.62406499999901</v>
      </c>
      <c r="Z52">
        <v>225.62847599999901</v>
      </c>
      <c r="AA52">
        <v>226.563087</v>
      </c>
      <c r="AB52">
        <v>226.62976479999901</v>
      </c>
      <c r="AC52">
        <v>227.56319189999999</v>
      </c>
      <c r="AD52">
        <v>227.56319189999999</v>
      </c>
      <c r="AE52">
        <v>229.063039099999</v>
      </c>
      <c r="AF52">
        <v>229.063039099999</v>
      </c>
      <c r="AG52">
        <v>229.063039099999</v>
      </c>
      <c r="AH52">
        <v>229.9640895</v>
      </c>
      <c r="AI52" t="s">
        <v>58</v>
      </c>
      <c r="AJ52">
        <v>0.89257809999997995</v>
      </c>
      <c r="AK52" t="s">
        <v>49</v>
      </c>
      <c r="AO52" t="s">
        <v>50</v>
      </c>
      <c r="AP52">
        <v>1</v>
      </c>
      <c r="AQ52" t="s">
        <v>51</v>
      </c>
      <c r="AR52" t="s">
        <v>52</v>
      </c>
      <c r="AT52" t="s">
        <v>53</v>
      </c>
      <c r="AU52">
        <v>60.047942277100802</v>
      </c>
      <c r="AV52" t="s">
        <v>54</v>
      </c>
    </row>
    <row r="53" spans="1:48" x14ac:dyDescent="0.35">
      <c r="A53">
        <v>200559</v>
      </c>
      <c r="B53" t="s">
        <v>57</v>
      </c>
      <c r="C53">
        <v>7</v>
      </c>
      <c r="D53">
        <v>50</v>
      </c>
      <c r="E53">
        <v>50</v>
      </c>
      <c r="F53">
        <v>0</v>
      </c>
      <c r="G53" t="s">
        <v>58</v>
      </c>
      <c r="H53">
        <v>1.02447069999999</v>
      </c>
      <c r="I53" t="s">
        <v>49</v>
      </c>
      <c r="J53">
        <v>0</v>
      </c>
      <c r="K53">
        <v>50</v>
      </c>
      <c r="L53">
        <v>50</v>
      </c>
      <c r="M53">
        <v>53</v>
      </c>
      <c r="N53">
        <v>230.032422</v>
      </c>
      <c r="W53">
        <v>1</v>
      </c>
      <c r="X53">
        <v>10</v>
      </c>
      <c r="Y53">
        <v>230.02904919999901</v>
      </c>
      <c r="Z53">
        <v>230.032422</v>
      </c>
      <c r="AA53">
        <v>230.97963979999901</v>
      </c>
      <c r="AB53">
        <v>231.0463676</v>
      </c>
      <c r="AC53">
        <v>231.97967089999901</v>
      </c>
      <c r="AD53">
        <v>231.97967089999901</v>
      </c>
      <c r="AE53">
        <v>233.48008340000001</v>
      </c>
      <c r="AF53">
        <v>233.48008340000001</v>
      </c>
      <c r="AG53">
        <v>233.48008340000001</v>
      </c>
      <c r="AH53">
        <v>234.513609199999</v>
      </c>
      <c r="AI53" t="s">
        <v>58</v>
      </c>
      <c r="AJ53">
        <v>1.02447069999999</v>
      </c>
      <c r="AK53" t="s">
        <v>49</v>
      </c>
      <c r="AO53" t="s">
        <v>50</v>
      </c>
      <c r="AP53">
        <v>1</v>
      </c>
      <c r="AQ53" t="s">
        <v>51</v>
      </c>
      <c r="AR53" t="s">
        <v>52</v>
      </c>
      <c r="AT53" t="s">
        <v>53</v>
      </c>
      <c r="AU53">
        <v>60.047942277100802</v>
      </c>
      <c r="AV53" t="s">
        <v>54</v>
      </c>
    </row>
    <row r="54" spans="1:48" x14ac:dyDescent="0.35">
      <c r="A54">
        <v>952814</v>
      </c>
      <c r="B54" t="s">
        <v>57</v>
      </c>
      <c r="C54">
        <v>6</v>
      </c>
      <c r="D54">
        <v>51</v>
      </c>
      <c r="E54">
        <v>51</v>
      </c>
      <c r="F54">
        <v>0</v>
      </c>
      <c r="G54" t="s">
        <v>58</v>
      </c>
      <c r="H54">
        <v>0.69838120000008497</v>
      </c>
      <c r="I54" t="s">
        <v>49</v>
      </c>
      <c r="J54">
        <v>0</v>
      </c>
      <c r="K54">
        <v>51</v>
      </c>
      <c r="L54">
        <v>51</v>
      </c>
      <c r="M54">
        <v>101</v>
      </c>
      <c r="N54">
        <v>234.59349370000001</v>
      </c>
      <c r="W54">
        <v>1</v>
      </c>
      <c r="X54">
        <v>10</v>
      </c>
      <c r="Y54">
        <v>234.58898439999899</v>
      </c>
      <c r="Z54">
        <v>234.59349370000001</v>
      </c>
      <c r="AA54">
        <v>235.512835899999</v>
      </c>
      <c r="AB54">
        <v>235.59619289999901</v>
      </c>
      <c r="AC54">
        <v>236.51298829999999</v>
      </c>
      <c r="AD54">
        <v>236.51298829999999</v>
      </c>
      <c r="AE54">
        <v>238.0129503</v>
      </c>
      <c r="AF54">
        <v>238.029547299999</v>
      </c>
      <c r="AG54">
        <v>238.029547299999</v>
      </c>
      <c r="AH54">
        <v>238.7302139</v>
      </c>
      <c r="AI54" t="s">
        <v>58</v>
      </c>
      <c r="AJ54">
        <v>0.69838120000008497</v>
      </c>
      <c r="AK54" t="s">
        <v>49</v>
      </c>
      <c r="AO54" t="s">
        <v>50</v>
      </c>
      <c r="AP54">
        <v>1</v>
      </c>
      <c r="AQ54" t="s">
        <v>51</v>
      </c>
      <c r="AR54" t="s">
        <v>52</v>
      </c>
      <c r="AT54" t="s">
        <v>53</v>
      </c>
      <c r="AU54">
        <v>60.047942277100802</v>
      </c>
      <c r="AV54" t="s">
        <v>54</v>
      </c>
    </row>
    <row r="55" spans="1:48" x14ac:dyDescent="0.35">
      <c r="A55">
        <v>474672</v>
      </c>
      <c r="B55" t="s">
        <v>57</v>
      </c>
      <c r="C55">
        <v>8</v>
      </c>
      <c r="D55">
        <v>52</v>
      </c>
      <c r="E55">
        <v>52</v>
      </c>
      <c r="F55">
        <v>0</v>
      </c>
      <c r="G55" t="s">
        <v>58</v>
      </c>
      <c r="H55">
        <v>0.68650579999996297</v>
      </c>
      <c r="I55" t="s">
        <v>49</v>
      </c>
      <c r="J55">
        <v>0</v>
      </c>
      <c r="K55">
        <v>52</v>
      </c>
      <c r="L55">
        <v>52</v>
      </c>
      <c r="M55">
        <v>143</v>
      </c>
      <c r="N55">
        <v>238.74736349999901</v>
      </c>
      <c r="W55">
        <v>0</v>
      </c>
      <c r="X55">
        <v>0</v>
      </c>
      <c r="Y55">
        <v>238.7438808</v>
      </c>
      <c r="Z55">
        <v>238.74736349999901</v>
      </c>
      <c r="AA55">
        <v>239.72947749999901</v>
      </c>
      <c r="AB55">
        <v>239.76282889999999</v>
      </c>
      <c r="AC55">
        <v>240.7293775</v>
      </c>
      <c r="AD55">
        <v>240.7293775</v>
      </c>
      <c r="AE55">
        <v>242.22943570000001</v>
      </c>
      <c r="AF55">
        <v>242.22943570000001</v>
      </c>
      <c r="AG55">
        <v>242.22943570000001</v>
      </c>
      <c r="AH55">
        <v>242.9304056</v>
      </c>
      <c r="AI55" t="s">
        <v>58</v>
      </c>
      <c r="AJ55">
        <v>0.68650579999996297</v>
      </c>
      <c r="AK55" t="s">
        <v>49</v>
      </c>
      <c r="AO55" t="s">
        <v>50</v>
      </c>
      <c r="AP55">
        <v>1</v>
      </c>
      <c r="AQ55" t="s">
        <v>51</v>
      </c>
      <c r="AR55" t="s">
        <v>52</v>
      </c>
      <c r="AT55" t="s">
        <v>53</v>
      </c>
      <c r="AU55">
        <v>60.047942277100802</v>
      </c>
      <c r="AV55" t="s">
        <v>54</v>
      </c>
    </row>
    <row r="56" spans="1:48" x14ac:dyDescent="0.35">
      <c r="A56">
        <v>521060</v>
      </c>
      <c r="B56" t="s">
        <v>57</v>
      </c>
      <c r="C56">
        <v>9</v>
      </c>
      <c r="D56">
        <v>53</v>
      </c>
      <c r="E56">
        <v>53</v>
      </c>
      <c r="F56">
        <v>0</v>
      </c>
      <c r="G56" t="s">
        <v>56</v>
      </c>
      <c r="H56">
        <v>0.66897549999998696</v>
      </c>
      <c r="I56" t="s">
        <v>49</v>
      </c>
      <c r="J56">
        <v>0</v>
      </c>
      <c r="K56">
        <v>53</v>
      </c>
      <c r="L56">
        <v>53</v>
      </c>
      <c r="M56">
        <v>90</v>
      </c>
      <c r="N56">
        <v>242.95023839999899</v>
      </c>
      <c r="W56">
        <v>0</v>
      </c>
      <c r="X56">
        <v>0</v>
      </c>
      <c r="Y56">
        <v>242.94675520000001</v>
      </c>
      <c r="Z56">
        <v>242.95023839999899</v>
      </c>
      <c r="AA56">
        <v>243.9294275</v>
      </c>
      <c r="AB56">
        <v>243.96264119999901</v>
      </c>
      <c r="AC56">
        <v>244.92926929999899</v>
      </c>
      <c r="AD56">
        <v>244.9459985</v>
      </c>
      <c r="AE56">
        <v>246.44622099999901</v>
      </c>
      <c r="AF56">
        <v>246.42948419999999</v>
      </c>
      <c r="AG56">
        <v>246.42948419999999</v>
      </c>
      <c r="AH56">
        <v>247.1133801</v>
      </c>
      <c r="AI56" t="s">
        <v>56</v>
      </c>
      <c r="AJ56">
        <v>0.66897549999998696</v>
      </c>
      <c r="AK56" t="s">
        <v>49</v>
      </c>
      <c r="AO56" t="s">
        <v>50</v>
      </c>
      <c r="AP56">
        <v>1</v>
      </c>
      <c r="AQ56" t="s">
        <v>51</v>
      </c>
      <c r="AR56" t="s">
        <v>52</v>
      </c>
      <c r="AT56" t="s">
        <v>53</v>
      </c>
      <c r="AU56">
        <v>60.047942277100802</v>
      </c>
      <c r="AV56" t="s">
        <v>54</v>
      </c>
    </row>
    <row r="57" spans="1:48" x14ac:dyDescent="0.35">
      <c r="A57">
        <v>164353</v>
      </c>
      <c r="B57" t="s">
        <v>55</v>
      </c>
      <c r="C57">
        <v>6</v>
      </c>
      <c r="D57">
        <v>54</v>
      </c>
      <c r="E57">
        <v>54</v>
      </c>
      <c r="F57">
        <v>0</v>
      </c>
      <c r="G57" t="s">
        <v>56</v>
      </c>
      <c r="H57">
        <v>1.01458249999996</v>
      </c>
      <c r="I57" t="s">
        <v>49</v>
      </c>
      <c r="J57">
        <v>0</v>
      </c>
      <c r="K57">
        <v>54</v>
      </c>
      <c r="L57">
        <v>54</v>
      </c>
      <c r="M57">
        <v>37</v>
      </c>
      <c r="N57">
        <v>247.20626639999901</v>
      </c>
      <c r="W57">
        <v>1</v>
      </c>
      <c r="X57">
        <v>10</v>
      </c>
      <c r="Y57">
        <v>247.19622039999899</v>
      </c>
      <c r="Z57">
        <v>247.20626639999901</v>
      </c>
      <c r="AA57">
        <v>248.11273660000001</v>
      </c>
      <c r="AB57">
        <v>248.21293650000001</v>
      </c>
      <c r="AC57">
        <v>249.1127286</v>
      </c>
      <c r="AD57">
        <v>249.1127286</v>
      </c>
      <c r="AE57">
        <v>250.61267819999901</v>
      </c>
      <c r="AF57">
        <v>250.633534099999</v>
      </c>
      <c r="AG57">
        <v>250.633534099999</v>
      </c>
      <c r="AH57">
        <v>251.66354240000001</v>
      </c>
      <c r="AI57" t="s">
        <v>56</v>
      </c>
      <c r="AJ57">
        <v>1.01458249999996</v>
      </c>
      <c r="AK57" t="s">
        <v>49</v>
      </c>
      <c r="AO57" t="s">
        <v>50</v>
      </c>
      <c r="AP57">
        <v>1</v>
      </c>
      <c r="AQ57" t="s">
        <v>51</v>
      </c>
      <c r="AR57" t="s">
        <v>52</v>
      </c>
      <c r="AT57" t="s">
        <v>53</v>
      </c>
      <c r="AU57">
        <v>60.047942277100802</v>
      </c>
      <c r="AV57" t="s">
        <v>54</v>
      </c>
    </row>
    <row r="58" spans="1:48" x14ac:dyDescent="0.35">
      <c r="A58">
        <v>295463</v>
      </c>
      <c r="B58" t="s">
        <v>55</v>
      </c>
      <c r="C58">
        <v>2</v>
      </c>
      <c r="D58">
        <v>55</v>
      </c>
      <c r="E58">
        <v>55</v>
      </c>
      <c r="F58">
        <v>0</v>
      </c>
      <c r="G58" t="s">
        <v>56</v>
      </c>
      <c r="H58">
        <v>0.74851999999998498</v>
      </c>
      <c r="I58" t="s">
        <v>49</v>
      </c>
      <c r="J58">
        <v>0</v>
      </c>
      <c r="K58">
        <v>55</v>
      </c>
      <c r="L58">
        <v>55</v>
      </c>
      <c r="M58">
        <v>106</v>
      </c>
      <c r="N58">
        <v>251.73979689999899</v>
      </c>
      <c r="W58">
        <v>1</v>
      </c>
      <c r="X58">
        <v>10</v>
      </c>
      <c r="Y58">
        <v>251.734378999999</v>
      </c>
      <c r="Z58">
        <v>251.73979689999899</v>
      </c>
      <c r="AA58">
        <v>252.67918539999999</v>
      </c>
      <c r="AB58">
        <v>252.746078299999</v>
      </c>
      <c r="AC58">
        <v>253.67909219999899</v>
      </c>
      <c r="AD58">
        <v>253.67909219999899</v>
      </c>
      <c r="AE58">
        <v>255.179291699999</v>
      </c>
      <c r="AF58">
        <v>255.179291699999</v>
      </c>
      <c r="AG58">
        <v>255.179291699999</v>
      </c>
      <c r="AH58">
        <v>255.9298402</v>
      </c>
      <c r="AI58" t="s">
        <v>56</v>
      </c>
      <c r="AJ58">
        <v>0.74851999999998498</v>
      </c>
      <c r="AK58" t="s">
        <v>49</v>
      </c>
      <c r="AO58" t="s">
        <v>50</v>
      </c>
      <c r="AP58">
        <v>1</v>
      </c>
      <c r="AQ58" t="s">
        <v>51</v>
      </c>
      <c r="AR58" t="s">
        <v>52</v>
      </c>
      <c r="AT58" t="s">
        <v>53</v>
      </c>
      <c r="AU58">
        <v>60.047942277100802</v>
      </c>
      <c r="AV58" t="s">
        <v>54</v>
      </c>
    </row>
    <row r="59" spans="1:48" x14ac:dyDescent="0.35">
      <c r="A59">
        <v>849594</v>
      </c>
      <c r="B59" t="s">
        <v>57</v>
      </c>
      <c r="C59">
        <v>7</v>
      </c>
      <c r="D59">
        <v>56</v>
      </c>
      <c r="E59">
        <v>56</v>
      </c>
      <c r="F59">
        <v>0</v>
      </c>
      <c r="G59" t="s">
        <v>58</v>
      </c>
      <c r="H59">
        <v>0.73977080000008699</v>
      </c>
      <c r="I59" t="s">
        <v>49</v>
      </c>
      <c r="J59">
        <v>0</v>
      </c>
      <c r="K59">
        <v>56</v>
      </c>
      <c r="L59">
        <v>56</v>
      </c>
      <c r="M59">
        <v>10</v>
      </c>
      <c r="N59">
        <v>255.94921400000001</v>
      </c>
      <c r="W59">
        <v>0</v>
      </c>
      <c r="X59">
        <v>0</v>
      </c>
      <c r="Y59">
        <v>255.945053099999</v>
      </c>
      <c r="Z59">
        <v>255.94921400000001</v>
      </c>
      <c r="AA59">
        <v>256.92907899999898</v>
      </c>
      <c r="AB59">
        <v>256.96253969999998</v>
      </c>
      <c r="AC59">
        <v>257.92901249999898</v>
      </c>
      <c r="AD59">
        <v>257.92901249999898</v>
      </c>
      <c r="AE59">
        <v>259.42896139999999</v>
      </c>
      <c r="AF59">
        <v>259.42896139999999</v>
      </c>
      <c r="AG59">
        <v>259.42896139999999</v>
      </c>
      <c r="AH59">
        <v>260.17995489999998</v>
      </c>
      <c r="AI59" t="s">
        <v>58</v>
      </c>
      <c r="AJ59">
        <v>0.73977080000008699</v>
      </c>
      <c r="AK59" t="s">
        <v>49</v>
      </c>
      <c r="AO59" t="s">
        <v>50</v>
      </c>
      <c r="AP59">
        <v>1</v>
      </c>
      <c r="AQ59" t="s">
        <v>51</v>
      </c>
      <c r="AR59" t="s">
        <v>52</v>
      </c>
      <c r="AT59" t="s">
        <v>53</v>
      </c>
      <c r="AU59">
        <v>60.047942277100802</v>
      </c>
      <c r="AV59" t="s">
        <v>54</v>
      </c>
    </row>
    <row r="60" spans="1:48" x14ac:dyDescent="0.35">
      <c r="A60">
        <v>675502</v>
      </c>
      <c r="B60" t="s">
        <v>57</v>
      </c>
      <c r="C60">
        <v>1</v>
      </c>
      <c r="D60">
        <v>57</v>
      </c>
      <c r="E60">
        <v>57</v>
      </c>
      <c r="F60">
        <v>0</v>
      </c>
      <c r="G60" t="s">
        <v>58</v>
      </c>
      <c r="H60">
        <v>0.78788710000003404</v>
      </c>
      <c r="I60" t="s">
        <v>49</v>
      </c>
      <c r="J60">
        <v>0</v>
      </c>
      <c r="K60">
        <v>57</v>
      </c>
      <c r="L60">
        <v>57</v>
      </c>
      <c r="M60">
        <v>58</v>
      </c>
      <c r="N60">
        <v>260.20527009999898</v>
      </c>
      <c r="W60">
        <v>0</v>
      </c>
      <c r="X60">
        <v>0</v>
      </c>
      <c r="Y60">
        <v>260.20146219999998</v>
      </c>
      <c r="Z60">
        <v>260.20527009999898</v>
      </c>
      <c r="AA60">
        <v>261.17888739999898</v>
      </c>
      <c r="AB60">
        <v>261.21252989999999</v>
      </c>
      <c r="AC60">
        <v>262.17997889999998</v>
      </c>
      <c r="AD60">
        <v>262.17997889999998</v>
      </c>
      <c r="AE60">
        <v>263.67917219999998</v>
      </c>
      <c r="AF60">
        <v>263.6957812</v>
      </c>
      <c r="AG60">
        <v>263.6957812</v>
      </c>
      <c r="AH60">
        <v>264.49641839999998</v>
      </c>
      <c r="AI60" t="s">
        <v>58</v>
      </c>
      <c r="AJ60">
        <v>0.78788710000003404</v>
      </c>
      <c r="AK60" t="s">
        <v>49</v>
      </c>
      <c r="AO60" t="s">
        <v>50</v>
      </c>
      <c r="AP60">
        <v>1</v>
      </c>
      <c r="AQ60" t="s">
        <v>51</v>
      </c>
      <c r="AR60" t="s">
        <v>52</v>
      </c>
      <c r="AT60" t="s">
        <v>53</v>
      </c>
      <c r="AU60">
        <v>60.047942277100802</v>
      </c>
      <c r="AV60" t="s">
        <v>54</v>
      </c>
    </row>
    <row r="61" spans="1:48" x14ac:dyDescent="0.35">
      <c r="A61">
        <v>656612</v>
      </c>
      <c r="B61" t="s">
        <v>57</v>
      </c>
      <c r="C61">
        <v>4</v>
      </c>
      <c r="D61">
        <v>58</v>
      </c>
      <c r="E61">
        <v>58</v>
      </c>
      <c r="F61">
        <v>0</v>
      </c>
      <c r="G61" t="s">
        <v>58</v>
      </c>
      <c r="H61">
        <v>0.78036640000004798</v>
      </c>
      <c r="I61" t="s">
        <v>49</v>
      </c>
      <c r="J61">
        <v>0</v>
      </c>
      <c r="K61">
        <v>58</v>
      </c>
      <c r="L61">
        <v>58</v>
      </c>
      <c r="M61">
        <v>63</v>
      </c>
      <c r="N61">
        <v>264.55632809999997</v>
      </c>
      <c r="W61">
        <v>1</v>
      </c>
      <c r="X61">
        <v>10</v>
      </c>
      <c r="Y61">
        <v>264.55279619999902</v>
      </c>
      <c r="Z61">
        <v>264.55632809999997</v>
      </c>
      <c r="AA61">
        <v>265.49571959999997</v>
      </c>
      <c r="AB61">
        <v>265.56240669999897</v>
      </c>
      <c r="AC61">
        <v>266.49590189999998</v>
      </c>
      <c r="AD61">
        <v>266.49590189999998</v>
      </c>
      <c r="AE61">
        <v>267.99573040000001</v>
      </c>
      <c r="AF61">
        <v>267.99573040000001</v>
      </c>
      <c r="AG61">
        <v>267.99573040000001</v>
      </c>
      <c r="AH61">
        <v>268.77984379999998</v>
      </c>
      <c r="AI61" t="s">
        <v>58</v>
      </c>
      <c r="AJ61">
        <v>0.78036640000004798</v>
      </c>
      <c r="AK61" t="s">
        <v>49</v>
      </c>
      <c r="AO61" t="s">
        <v>50</v>
      </c>
      <c r="AP61">
        <v>1</v>
      </c>
      <c r="AQ61" t="s">
        <v>51</v>
      </c>
      <c r="AR61" t="s">
        <v>52</v>
      </c>
      <c r="AT61" t="s">
        <v>53</v>
      </c>
      <c r="AU61">
        <v>60.047942277100802</v>
      </c>
      <c r="AV61" t="s">
        <v>54</v>
      </c>
    </row>
    <row r="62" spans="1:48" x14ac:dyDescent="0.35">
      <c r="A62">
        <v>337647</v>
      </c>
      <c r="B62" t="s">
        <v>55</v>
      </c>
      <c r="C62">
        <v>4</v>
      </c>
      <c r="D62">
        <v>59</v>
      </c>
      <c r="E62">
        <v>59</v>
      </c>
      <c r="F62">
        <v>0</v>
      </c>
      <c r="G62" t="s">
        <v>58</v>
      </c>
      <c r="H62">
        <v>0.61023030000001199</v>
      </c>
      <c r="I62" t="s">
        <v>49</v>
      </c>
      <c r="J62">
        <v>0</v>
      </c>
      <c r="K62">
        <v>59</v>
      </c>
      <c r="L62">
        <v>59</v>
      </c>
      <c r="M62">
        <v>12</v>
      </c>
      <c r="N62">
        <v>268.8382962</v>
      </c>
      <c r="W62">
        <v>1</v>
      </c>
      <c r="X62">
        <v>10</v>
      </c>
      <c r="Y62">
        <v>268.83456489999998</v>
      </c>
      <c r="Z62">
        <v>268.8382962</v>
      </c>
      <c r="AA62">
        <v>269.78029039999899</v>
      </c>
      <c r="AB62">
        <v>269.84583800000001</v>
      </c>
      <c r="AC62">
        <v>270.79593299999902</v>
      </c>
      <c r="AD62">
        <v>270.779043599999</v>
      </c>
      <c r="AE62">
        <v>272.27894179999998</v>
      </c>
      <c r="AF62">
        <v>272.29604719999998</v>
      </c>
      <c r="AG62">
        <v>272.29604719999998</v>
      </c>
      <c r="AH62">
        <v>272.91312119999998</v>
      </c>
      <c r="AI62" t="s">
        <v>58</v>
      </c>
      <c r="AJ62">
        <v>0.61023030000001199</v>
      </c>
      <c r="AK62" t="s">
        <v>49</v>
      </c>
      <c r="AO62" t="s">
        <v>50</v>
      </c>
      <c r="AP62">
        <v>1</v>
      </c>
      <c r="AQ62" t="s">
        <v>51</v>
      </c>
      <c r="AR62" t="s">
        <v>52</v>
      </c>
      <c r="AT62" t="s">
        <v>53</v>
      </c>
      <c r="AU62">
        <v>60.047942277100802</v>
      </c>
      <c r="AV62" t="s">
        <v>54</v>
      </c>
    </row>
    <row r="63" spans="1:48" x14ac:dyDescent="0.35">
      <c r="A63">
        <v>934003</v>
      </c>
      <c r="B63" t="s">
        <v>55</v>
      </c>
      <c r="C63">
        <v>0</v>
      </c>
      <c r="D63">
        <v>60</v>
      </c>
      <c r="E63">
        <v>60</v>
      </c>
      <c r="F63">
        <v>0</v>
      </c>
      <c r="G63" t="s">
        <v>58</v>
      </c>
      <c r="H63">
        <v>2.45479179999995</v>
      </c>
      <c r="I63" t="s">
        <v>49</v>
      </c>
      <c r="J63">
        <v>0</v>
      </c>
      <c r="K63">
        <v>60</v>
      </c>
      <c r="L63">
        <v>60</v>
      </c>
      <c r="M63">
        <v>81</v>
      </c>
      <c r="N63">
        <v>272.9347396</v>
      </c>
      <c r="W63">
        <v>0</v>
      </c>
      <c r="X63">
        <v>0</v>
      </c>
      <c r="Y63">
        <v>272.93023749999998</v>
      </c>
      <c r="Z63">
        <v>272.9347396</v>
      </c>
      <c r="AA63">
        <v>273.91219510000002</v>
      </c>
      <c r="AB63">
        <v>273.94576679999898</v>
      </c>
      <c r="AC63">
        <v>274.91237569999998</v>
      </c>
      <c r="AD63">
        <v>274.91237569999998</v>
      </c>
      <c r="AE63">
        <v>276.41237899999902</v>
      </c>
      <c r="AF63">
        <v>276.41237899999902</v>
      </c>
      <c r="AG63">
        <v>276.41237899999902</v>
      </c>
      <c r="AH63">
        <v>278.88026269999898</v>
      </c>
      <c r="AI63" t="s">
        <v>58</v>
      </c>
      <c r="AJ63">
        <v>2.45479179999995</v>
      </c>
      <c r="AK63" t="s">
        <v>49</v>
      </c>
      <c r="AO63" t="s">
        <v>50</v>
      </c>
      <c r="AP63">
        <v>1</v>
      </c>
      <c r="AQ63" t="s">
        <v>51</v>
      </c>
      <c r="AR63" t="s">
        <v>52</v>
      </c>
      <c r="AT63" t="s">
        <v>53</v>
      </c>
      <c r="AU63">
        <v>60.047942277100802</v>
      </c>
      <c r="AV63" t="s">
        <v>54</v>
      </c>
    </row>
    <row r="64" spans="1:48" x14ac:dyDescent="0.35">
      <c r="A64">
        <v>862476</v>
      </c>
      <c r="B64" t="s">
        <v>57</v>
      </c>
      <c r="C64">
        <v>3</v>
      </c>
      <c r="D64">
        <v>61</v>
      </c>
      <c r="E64">
        <v>61</v>
      </c>
      <c r="F64">
        <v>0</v>
      </c>
      <c r="G64" t="s">
        <v>58</v>
      </c>
      <c r="H64">
        <v>0.77714320000006798</v>
      </c>
      <c r="I64" t="s">
        <v>49</v>
      </c>
      <c r="J64">
        <v>0</v>
      </c>
      <c r="K64">
        <v>61</v>
      </c>
      <c r="L64">
        <v>61</v>
      </c>
      <c r="M64">
        <v>9</v>
      </c>
      <c r="N64">
        <v>278.89609949999902</v>
      </c>
      <c r="W64">
        <v>0</v>
      </c>
      <c r="X64">
        <v>0</v>
      </c>
      <c r="Y64">
        <v>278.8923408</v>
      </c>
      <c r="Z64">
        <v>278.89609949999902</v>
      </c>
      <c r="AA64">
        <v>279.895489599999</v>
      </c>
      <c r="AB64">
        <v>279.895489599999</v>
      </c>
      <c r="AC64">
        <v>280.89555369999999</v>
      </c>
      <c r="AD64">
        <v>280.89555369999999</v>
      </c>
      <c r="AE64">
        <v>282.39562169999903</v>
      </c>
      <c r="AF64">
        <v>282.39562169999903</v>
      </c>
      <c r="AG64">
        <v>282.39562169999903</v>
      </c>
      <c r="AH64">
        <v>283.17961759999997</v>
      </c>
      <c r="AI64" t="s">
        <v>58</v>
      </c>
      <c r="AJ64">
        <v>0.77714320000006798</v>
      </c>
      <c r="AK64" t="s">
        <v>49</v>
      </c>
      <c r="AO64" t="s">
        <v>50</v>
      </c>
      <c r="AP64">
        <v>1</v>
      </c>
      <c r="AQ64" t="s">
        <v>51</v>
      </c>
      <c r="AR64" t="s">
        <v>52</v>
      </c>
      <c r="AT64" t="s">
        <v>53</v>
      </c>
      <c r="AU64">
        <v>60.047942277100802</v>
      </c>
      <c r="AV64" t="s">
        <v>54</v>
      </c>
    </row>
    <row r="65" spans="1:48" x14ac:dyDescent="0.35">
      <c r="A65">
        <v>228637</v>
      </c>
      <c r="B65" t="s">
        <v>55</v>
      </c>
      <c r="C65">
        <v>6</v>
      </c>
      <c r="D65">
        <v>62</v>
      </c>
      <c r="E65">
        <v>62</v>
      </c>
      <c r="F65">
        <v>0</v>
      </c>
      <c r="G65" t="s">
        <v>58</v>
      </c>
      <c r="H65">
        <v>0.839045499999997</v>
      </c>
      <c r="I65" t="s">
        <v>49</v>
      </c>
      <c r="J65">
        <v>0</v>
      </c>
      <c r="K65">
        <v>62</v>
      </c>
      <c r="L65">
        <v>62</v>
      </c>
      <c r="M65">
        <v>117</v>
      </c>
      <c r="N65">
        <v>283.19724170000001</v>
      </c>
      <c r="W65">
        <v>0</v>
      </c>
      <c r="X65">
        <v>0</v>
      </c>
      <c r="Y65">
        <v>283.19323509999998</v>
      </c>
      <c r="Z65">
        <v>283.19724170000001</v>
      </c>
      <c r="AA65">
        <v>284.17900589999903</v>
      </c>
      <c r="AB65">
        <v>284.21221580000002</v>
      </c>
      <c r="AC65">
        <v>285.17896019999898</v>
      </c>
      <c r="AD65">
        <v>285.1954212</v>
      </c>
      <c r="AE65">
        <v>286.69565499999902</v>
      </c>
      <c r="AF65">
        <v>286.67902679999997</v>
      </c>
      <c r="AG65">
        <v>286.67902679999997</v>
      </c>
      <c r="AH65">
        <v>287.52953539999999</v>
      </c>
      <c r="AI65" t="s">
        <v>58</v>
      </c>
      <c r="AJ65">
        <v>0.839045499999997</v>
      </c>
      <c r="AK65" t="s">
        <v>49</v>
      </c>
      <c r="AO65" t="s">
        <v>50</v>
      </c>
      <c r="AP65">
        <v>1</v>
      </c>
      <c r="AQ65" t="s">
        <v>51</v>
      </c>
      <c r="AR65" t="s">
        <v>52</v>
      </c>
      <c r="AT65" t="s">
        <v>53</v>
      </c>
      <c r="AU65">
        <v>60.047942277100802</v>
      </c>
      <c r="AV65" t="s">
        <v>54</v>
      </c>
    </row>
    <row r="66" spans="1:48" x14ac:dyDescent="0.35">
      <c r="A66">
        <v>566908</v>
      </c>
      <c r="B66" t="s">
        <v>57</v>
      </c>
      <c r="C66">
        <v>0</v>
      </c>
      <c r="D66">
        <v>63</v>
      </c>
      <c r="E66">
        <v>63</v>
      </c>
      <c r="F66">
        <v>0</v>
      </c>
      <c r="G66" t="s">
        <v>56</v>
      </c>
      <c r="H66">
        <v>1.12972359999992</v>
      </c>
      <c r="I66" t="s">
        <v>49</v>
      </c>
      <c r="J66">
        <v>0</v>
      </c>
      <c r="K66">
        <v>63</v>
      </c>
      <c r="L66">
        <v>63</v>
      </c>
      <c r="M66">
        <v>113</v>
      </c>
      <c r="N66">
        <v>287.60035299999998</v>
      </c>
      <c r="W66">
        <v>1</v>
      </c>
      <c r="X66">
        <v>10</v>
      </c>
      <c r="Y66">
        <v>287.59641359999898</v>
      </c>
      <c r="Z66">
        <v>287.60035299999998</v>
      </c>
      <c r="AA66">
        <v>288.528642899999</v>
      </c>
      <c r="AB66">
        <v>288.6119961</v>
      </c>
      <c r="AC66">
        <v>289.52880169999997</v>
      </c>
      <c r="AD66">
        <v>289.52880169999997</v>
      </c>
      <c r="AE66">
        <v>291.02856359999998</v>
      </c>
      <c r="AF66">
        <v>291.02856359999998</v>
      </c>
      <c r="AG66">
        <v>291.02856359999998</v>
      </c>
      <c r="AH66">
        <v>292.16253760000001</v>
      </c>
      <c r="AI66" t="s">
        <v>56</v>
      </c>
      <c r="AJ66">
        <v>1.12972359999992</v>
      </c>
      <c r="AK66" t="s">
        <v>49</v>
      </c>
      <c r="AO66" t="s">
        <v>50</v>
      </c>
      <c r="AP66">
        <v>1</v>
      </c>
      <c r="AQ66" t="s">
        <v>51</v>
      </c>
      <c r="AR66" t="s">
        <v>52</v>
      </c>
      <c r="AT66" t="s">
        <v>53</v>
      </c>
      <c r="AU66">
        <v>60.047942277100802</v>
      </c>
      <c r="AV66" t="s">
        <v>54</v>
      </c>
    </row>
    <row r="67" spans="1:48" x14ac:dyDescent="0.35">
      <c r="A67">
        <v>749664</v>
      </c>
      <c r="B67" t="s">
        <v>57</v>
      </c>
      <c r="C67">
        <v>8</v>
      </c>
      <c r="D67">
        <v>64</v>
      </c>
      <c r="E67">
        <v>64</v>
      </c>
      <c r="F67">
        <v>0</v>
      </c>
      <c r="G67" t="s">
        <v>58</v>
      </c>
      <c r="H67">
        <v>0.78497750000008104</v>
      </c>
      <c r="I67" t="s">
        <v>49</v>
      </c>
      <c r="J67">
        <v>0</v>
      </c>
      <c r="K67">
        <v>64</v>
      </c>
      <c r="L67">
        <v>64</v>
      </c>
      <c r="M67">
        <v>147</v>
      </c>
      <c r="N67">
        <v>292.18232759999898</v>
      </c>
      <c r="W67">
        <v>0</v>
      </c>
      <c r="X67">
        <v>0</v>
      </c>
      <c r="Y67">
        <v>292.17838890000002</v>
      </c>
      <c r="Z67">
        <v>292.18232759999898</v>
      </c>
      <c r="AA67">
        <v>293.16205789999998</v>
      </c>
      <c r="AB67">
        <v>293.19517969999998</v>
      </c>
      <c r="AC67">
        <v>294.16227339999898</v>
      </c>
      <c r="AD67">
        <v>294.16227339999898</v>
      </c>
      <c r="AE67">
        <v>295.66202579999998</v>
      </c>
      <c r="AF67">
        <v>295.66202579999998</v>
      </c>
      <c r="AG67">
        <v>295.66202579999998</v>
      </c>
      <c r="AH67">
        <v>296.46261120000003</v>
      </c>
      <c r="AI67" t="s">
        <v>58</v>
      </c>
      <c r="AJ67">
        <v>0.78497750000008104</v>
      </c>
      <c r="AK67" t="s">
        <v>49</v>
      </c>
      <c r="AO67" t="s">
        <v>50</v>
      </c>
      <c r="AP67">
        <v>1</v>
      </c>
      <c r="AQ67" t="s">
        <v>51</v>
      </c>
      <c r="AR67" t="s">
        <v>52</v>
      </c>
      <c r="AT67" t="s">
        <v>53</v>
      </c>
      <c r="AU67">
        <v>60.047942277100802</v>
      </c>
      <c r="AV67" t="s">
        <v>54</v>
      </c>
    </row>
    <row r="68" spans="1:48" x14ac:dyDescent="0.35">
      <c r="A68">
        <v>263507</v>
      </c>
      <c r="B68" t="s">
        <v>55</v>
      </c>
      <c r="C68">
        <v>0</v>
      </c>
      <c r="D68">
        <v>65</v>
      </c>
      <c r="E68">
        <v>65</v>
      </c>
      <c r="F68">
        <v>0</v>
      </c>
      <c r="G68" t="s">
        <v>58</v>
      </c>
      <c r="H68">
        <v>0.983130000000073</v>
      </c>
      <c r="I68" t="s">
        <v>49</v>
      </c>
      <c r="J68">
        <v>0</v>
      </c>
      <c r="K68">
        <v>65</v>
      </c>
      <c r="L68">
        <v>65</v>
      </c>
      <c r="M68">
        <v>52</v>
      </c>
      <c r="N68">
        <v>296.48674</v>
      </c>
      <c r="W68">
        <v>0</v>
      </c>
      <c r="X68">
        <v>0</v>
      </c>
      <c r="Y68">
        <v>296.48353470000001</v>
      </c>
      <c r="Z68">
        <v>296.48674</v>
      </c>
      <c r="AA68">
        <v>297.46196270000002</v>
      </c>
      <c r="AB68">
        <v>297.49526759999998</v>
      </c>
      <c r="AC68">
        <v>298.461561799999</v>
      </c>
      <c r="AD68">
        <v>298.47834619999998</v>
      </c>
      <c r="AE68">
        <v>299.97852749999998</v>
      </c>
      <c r="AF68">
        <v>299.961882099999</v>
      </c>
      <c r="AG68">
        <v>299.961882099999</v>
      </c>
      <c r="AH68">
        <v>300.94581399999998</v>
      </c>
      <c r="AI68" t="s">
        <v>58</v>
      </c>
      <c r="AJ68">
        <v>0.983130000000073</v>
      </c>
      <c r="AK68" t="s">
        <v>49</v>
      </c>
      <c r="AO68" t="s">
        <v>50</v>
      </c>
      <c r="AP68">
        <v>1</v>
      </c>
      <c r="AQ68" t="s">
        <v>51</v>
      </c>
      <c r="AR68" t="s">
        <v>52</v>
      </c>
      <c r="AT68" t="s">
        <v>53</v>
      </c>
      <c r="AU68">
        <v>60.047942277100802</v>
      </c>
      <c r="AV68" t="s">
        <v>54</v>
      </c>
    </row>
    <row r="69" spans="1:48" x14ac:dyDescent="0.35">
      <c r="A69">
        <v>623841</v>
      </c>
      <c r="B69" t="s">
        <v>57</v>
      </c>
      <c r="C69">
        <v>0</v>
      </c>
      <c r="D69">
        <v>66</v>
      </c>
      <c r="E69">
        <v>66</v>
      </c>
      <c r="F69">
        <v>0</v>
      </c>
      <c r="G69" t="s">
        <v>58</v>
      </c>
      <c r="H69">
        <v>5.9693877000000803</v>
      </c>
      <c r="I69" t="s">
        <v>49</v>
      </c>
      <c r="J69">
        <v>0</v>
      </c>
      <c r="K69">
        <v>66</v>
      </c>
      <c r="L69">
        <v>66</v>
      </c>
      <c r="M69">
        <v>97</v>
      </c>
      <c r="N69">
        <v>300.961800699999</v>
      </c>
      <c r="W69">
        <v>0</v>
      </c>
      <c r="X69">
        <v>0</v>
      </c>
      <c r="Y69">
        <v>300.94938699999898</v>
      </c>
      <c r="Z69">
        <v>300.961800699999</v>
      </c>
      <c r="AA69">
        <v>301.944997099999</v>
      </c>
      <c r="AB69">
        <v>301.96185499999899</v>
      </c>
      <c r="AC69">
        <v>302.94498129999897</v>
      </c>
      <c r="AD69">
        <v>302.94498129999897</v>
      </c>
      <c r="AE69">
        <v>304.44516129999897</v>
      </c>
      <c r="AF69">
        <v>304.44516129999897</v>
      </c>
      <c r="AG69">
        <v>304.44516129999897</v>
      </c>
      <c r="AH69">
        <v>310.42928929999999</v>
      </c>
      <c r="AI69" t="s">
        <v>58</v>
      </c>
      <c r="AJ69">
        <v>5.9693877000000803</v>
      </c>
      <c r="AK69" t="s">
        <v>49</v>
      </c>
      <c r="AO69" t="s">
        <v>50</v>
      </c>
      <c r="AP69">
        <v>1</v>
      </c>
      <c r="AQ69" t="s">
        <v>51</v>
      </c>
      <c r="AR69" t="s">
        <v>52</v>
      </c>
      <c r="AT69" t="s">
        <v>53</v>
      </c>
      <c r="AU69">
        <v>60.047942277100802</v>
      </c>
      <c r="AV69" t="s">
        <v>54</v>
      </c>
    </row>
    <row r="70" spans="1:48" x14ac:dyDescent="0.35">
      <c r="A70">
        <v>275504</v>
      </c>
      <c r="B70" t="s">
        <v>55</v>
      </c>
      <c r="C70">
        <v>5</v>
      </c>
      <c r="D70">
        <v>67</v>
      </c>
      <c r="E70">
        <v>67</v>
      </c>
      <c r="F70">
        <v>0</v>
      </c>
      <c r="G70" t="s">
        <v>56</v>
      </c>
      <c r="H70">
        <v>3.14173759999994</v>
      </c>
      <c r="I70" t="s">
        <v>49</v>
      </c>
      <c r="J70">
        <v>0</v>
      </c>
      <c r="K70">
        <v>67</v>
      </c>
      <c r="L70">
        <v>67</v>
      </c>
      <c r="M70">
        <v>118</v>
      </c>
      <c r="N70">
        <v>310.451896699999</v>
      </c>
      <c r="W70">
        <v>0</v>
      </c>
      <c r="X70">
        <v>0</v>
      </c>
      <c r="Y70">
        <v>310.44762269999899</v>
      </c>
      <c r="Z70">
        <v>310.451896699999</v>
      </c>
      <c r="AA70">
        <v>311.44463049999899</v>
      </c>
      <c r="AB70">
        <v>311.46142849999899</v>
      </c>
      <c r="AC70">
        <v>312.44480440000001</v>
      </c>
      <c r="AD70">
        <v>312.44480440000001</v>
      </c>
      <c r="AE70">
        <v>313.94592510000001</v>
      </c>
      <c r="AF70">
        <v>313.94592510000001</v>
      </c>
      <c r="AG70">
        <v>313.94592510000001</v>
      </c>
      <c r="AH70">
        <v>317.09584439999998</v>
      </c>
      <c r="AI70" t="s">
        <v>56</v>
      </c>
      <c r="AJ70">
        <v>3.14173759999994</v>
      </c>
      <c r="AK70" t="s">
        <v>49</v>
      </c>
      <c r="AO70" t="s">
        <v>50</v>
      </c>
      <c r="AP70">
        <v>1</v>
      </c>
      <c r="AQ70" t="s">
        <v>51</v>
      </c>
      <c r="AR70" t="s">
        <v>52</v>
      </c>
      <c r="AT70" t="s">
        <v>53</v>
      </c>
      <c r="AU70">
        <v>60.047942277100802</v>
      </c>
      <c r="AV70" t="s">
        <v>54</v>
      </c>
    </row>
    <row r="71" spans="1:48" x14ac:dyDescent="0.35">
      <c r="A71">
        <v>333069</v>
      </c>
      <c r="B71" t="s">
        <v>55</v>
      </c>
      <c r="C71">
        <v>9</v>
      </c>
      <c r="D71">
        <v>68</v>
      </c>
      <c r="E71">
        <v>68</v>
      </c>
      <c r="F71">
        <v>0</v>
      </c>
      <c r="G71" t="s">
        <v>58</v>
      </c>
      <c r="H71">
        <v>0.76034540000000495</v>
      </c>
      <c r="I71" t="s">
        <v>49</v>
      </c>
      <c r="J71">
        <v>0</v>
      </c>
      <c r="K71">
        <v>68</v>
      </c>
      <c r="L71">
        <v>68</v>
      </c>
      <c r="M71">
        <v>103</v>
      </c>
      <c r="N71">
        <v>317.11333269999898</v>
      </c>
      <c r="W71">
        <v>0</v>
      </c>
      <c r="X71">
        <v>0</v>
      </c>
      <c r="Y71">
        <v>317.10972609999902</v>
      </c>
      <c r="Z71">
        <v>317.11333269999898</v>
      </c>
      <c r="AA71">
        <v>318.11202420000001</v>
      </c>
      <c r="AB71">
        <v>318.12874410000001</v>
      </c>
      <c r="AC71">
        <v>319.1114326</v>
      </c>
      <c r="AD71">
        <v>319.09484739999999</v>
      </c>
      <c r="AE71">
        <v>320.59486809999999</v>
      </c>
      <c r="AF71">
        <v>320.59486809999999</v>
      </c>
      <c r="AG71">
        <v>320.59486809999999</v>
      </c>
      <c r="AH71">
        <v>321.36308759999997</v>
      </c>
      <c r="AI71" t="s">
        <v>58</v>
      </c>
      <c r="AJ71">
        <v>0.76034540000000495</v>
      </c>
      <c r="AK71" t="s">
        <v>49</v>
      </c>
      <c r="AO71" t="s">
        <v>50</v>
      </c>
      <c r="AP71">
        <v>1</v>
      </c>
      <c r="AQ71" t="s">
        <v>51</v>
      </c>
      <c r="AR71" t="s">
        <v>52</v>
      </c>
      <c r="AT71" t="s">
        <v>53</v>
      </c>
      <c r="AU71">
        <v>60.047942277100802</v>
      </c>
      <c r="AV71" t="s">
        <v>54</v>
      </c>
    </row>
    <row r="72" spans="1:48" x14ac:dyDescent="0.35">
      <c r="A72">
        <v>334679</v>
      </c>
      <c r="B72" t="s">
        <v>55</v>
      </c>
      <c r="C72">
        <v>3</v>
      </c>
      <c r="D72">
        <v>69</v>
      </c>
      <c r="E72">
        <v>69</v>
      </c>
      <c r="F72">
        <v>0</v>
      </c>
      <c r="G72" t="s">
        <v>56</v>
      </c>
      <c r="H72">
        <v>1.4941114999999101</v>
      </c>
      <c r="I72" t="s">
        <v>49</v>
      </c>
      <c r="J72">
        <v>0</v>
      </c>
      <c r="K72">
        <v>69</v>
      </c>
      <c r="L72">
        <v>69</v>
      </c>
      <c r="M72">
        <v>121</v>
      </c>
      <c r="N72">
        <v>321.43098939999999</v>
      </c>
      <c r="W72">
        <v>1</v>
      </c>
      <c r="X72">
        <v>10</v>
      </c>
      <c r="Y72">
        <v>321.42725730000001</v>
      </c>
      <c r="Z72">
        <v>321.43098939999999</v>
      </c>
      <c r="AA72">
        <v>322.37848229999997</v>
      </c>
      <c r="AB72">
        <v>322.44496029999999</v>
      </c>
      <c r="AC72">
        <v>323.37813469999998</v>
      </c>
      <c r="AD72">
        <v>323.37813469999998</v>
      </c>
      <c r="AE72">
        <v>324.87875860000003</v>
      </c>
      <c r="AF72">
        <v>324.87875860000003</v>
      </c>
      <c r="AG72">
        <v>324.87875860000003</v>
      </c>
      <c r="AH72">
        <v>326.37912809999898</v>
      </c>
      <c r="AI72" t="s">
        <v>56</v>
      </c>
      <c r="AJ72">
        <v>1.4941114999999101</v>
      </c>
      <c r="AK72" t="s">
        <v>49</v>
      </c>
      <c r="AO72" t="s">
        <v>50</v>
      </c>
      <c r="AP72">
        <v>1</v>
      </c>
      <c r="AQ72" t="s">
        <v>51</v>
      </c>
      <c r="AR72" t="s">
        <v>52</v>
      </c>
      <c r="AT72" t="s">
        <v>53</v>
      </c>
      <c r="AU72">
        <v>60.047942277100802</v>
      </c>
      <c r="AV72" t="s">
        <v>54</v>
      </c>
    </row>
    <row r="73" spans="1:48" x14ac:dyDescent="0.35">
      <c r="A73">
        <v>352468</v>
      </c>
      <c r="B73" t="s">
        <v>55</v>
      </c>
      <c r="C73">
        <v>4</v>
      </c>
      <c r="D73">
        <v>70</v>
      </c>
      <c r="E73">
        <v>70</v>
      </c>
      <c r="F73">
        <v>0</v>
      </c>
      <c r="G73" t="s">
        <v>58</v>
      </c>
      <c r="H73">
        <v>0.901027699999986</v>
      </c>
      <c r="I73" t="s">
        <v>49</v>
      </c>
      <c r="J73">
        <v>0</v>
      </c>
      <c r="K73">
        <v>70</v>
      </c>
      <c r="L73">
        <v>70</v>
      </c>
      <c r="M73">
        <v>20</v>
      </c>
      <c r="N73">
        <v>326.44353949999999</v>
      </c>
      <c r="W73">
        <v>1</v>
      </c>
      <c r="X73">
        <v>10</v>
      </c>
      <c r="Y73">
        <v>326.44014879999997</v>
      </c>
      <c r="Z73">
        <v>326.44353949999999</v>
      </c>
      <c r="AA73">
        <v>327.394851299999</v>
      </c>
      <c r="AB73">
        <v>327.44469469999899</v>
      </c>
      <c r="AC73">
        <v>328.39496109999999</v>
      </c>
      <c r="AD73">
        <v>328.39496109999999</v>
      </c>
      <c r="AE73">
        <v>329.89475479999902</v>
      </c>
      <c r="AF73">
        <v>329.89475479999902</v>
      </c>
      <c r="AG73">
        <v>329.89475479999902</v>
      </c>
      <c r="AH73">
        <v>330.8130468</v>
      </c>
      <c r="AI73" t="s">
        <v>58</v>
      </c>
      <c r="AJ73">
        <v>0.901027699999986</v>
      </c>
      <c r="AK73" t="s">
        <v>49</v>
      </c>
      <c r="AO73" t="s">
        <v>50</v>
      </c>
      <c r="AP73">
        <v>1</v>
      </c>
      <c r="AQ73" t="s">
        <v>51</v>
      </c>
      <c r="AR73" t="s">
        <v>52</v>
      </c>
      <c r="AT73" t="s">
        <v>53</v>
      </c>
      <c r="AU73">
        <v>60.047942277100802</v>
      </c>
      <c r="AV73" t="s">
        <v>54</v>
      </c>
    </row>
    <row r="74" spans="1:48" x14ac:dyDescent="0.35">
      <c r="A74">
        <v>449682</v>
      </c>
      <c r="B74" t="s">
        <v>57</v>
      </c>
      <c r="C74">
        <v>3</v>
      </c>
      <c r="D74">
        <v>71</v>
      </c>
      <c r="E74">
        <v>71</v>
      </c>
      <c r="F74">
        <v>0</v>
      </c>
      <c r="G74" t="s">
        <v>58</v>
      </c>
      <c r="H74">
        <v>2.79363599999999</v>
      </c>
      <c r="I74" t="s">
        <v>49</v>
      </c>
      <c r="J74">
        <v>0</v>
      </c>
      <c r="K74">
        <v>71</v>
      </c>
      <c r="L74">
        <v>71</v>
      </c>
      <c r="M74">
        <v>98</v>
      </c>
      <c r="N74">
        <v>330.82822540000001</v>
      </c>
      <c r="W74">
        <v>0</v>
      </c>
      <c r="X74">
        <v>0</v>
      </c>
      <c r="Y74">
        <v>330.82391030000002</v>
      </c>
      <c r="Z74">
        <v>330.82822540000001</v>
      </c>
      <c r="AA74">
        <v>331.82819879999897</v>
      </c>
      <c r="AB74">
        <v>331.82819879999897</v>
      </c>
      <c r="AC74">
        <v>332.82853119999999</v>
      </c>
      <c r="AD74">
        <v>332.82853119999999</v>
      </c>
      <c r="AE74">
        <v>334.32840889999898</v>
      </c>
      <c r="AF74">
        <v>334.32840889999898</v>
      </c>
      <c r="AG74">
        <v>334.32840889999898</v>
      </c>
      <c r="AH74">
        <v>337.12891680000001</v>
      </c>
      <c r="AI74" t="s">
        <v>58</v>
      </c>
      <c r="AJ74">
        <v>2.79363599999999</v>
      </c>
      <c r="AK74" t="s">
        <v>49</v>
      </c>
      <c r="AO74" t="s">
        <v>50</v>
      </c>
      <c r="AP74">
        <v>1</v>
      </c>
      <c r="AQ74" t="s">
        <v>51</v>
      </c>
      <c r="AR74" t="s">
        <v>52</v>
      </c>
      <c r="AT74" t="s">
        <v>53</v>
      </c>
      <c r="AU74">
        <v>60.047942277100802</v>
      </c>
      <c r="AV74" t="s">
        <v>54</v>
      </c>
    </row>
    <row r="75" spans="1:48" x14ac:dyDescent="0.35">
      <c r="A75">
        <v>217239</v>
      </c>
      <c r="B75" t="s">
        <v>55</v>
      </c>
      <c r="C75">
        <v>2</v>
      </c>
      <c r="D75">
        <v>72</v>
      </c>
      <c r="E75">
        <v>72</v>
      </c>
      <c r="F75">
        <v>0</v>
      </c>
      <c r="G75" t="s">
        <v>58</v>
      </c>
      <c r="H75">
        <v>1.1102208999999399</v>
      </c>
      <c r="I75" t="s">
        <v>49</v>
      </c>
      <c r="J75">
        <v>0</v>
      </c>
      <c r="K75">
        <v>72</v>
      </c>
      <c r="L75">
        <v>72</v>
      </c>
      <c r="M75">
        <v>15</v>
      </c>
      <c r="N75">
        <v>337.14485450000001</v>
      </c>
      <c r="W75">
        <v>0</v>
      </c>
      <c r="X75">
        <v>0</v>
      </c>
      <c r="Y75">
        <v>337.14149470000001</v>
      </c>
      <c r="Z75">
        <v>337.14485450000001</v>
      </c>
      <c r="AA75">
        <v>338.12850599999899</v>
      </c>
      <c r="AB75">
        <v>338.14634629999898</v>
      </c>
      <c r="AC75">
        <v>339.12804979999999</v>
      </c>
      <c r="AD75">
        <v>339.12804979999999</v>
      </c>
      <c r="AE75">
        <v>340.62781699999999</v>
      </c>
      <c r="AF75">
        <v>340.645107099999</v>
      </c>
      <c r="AG75">
        <v>340.645107099999</v>
      </c>
      <c r="AH75">
        <v>341.76175859999898</v>
      </c>
      <c r="AI75" t="s">
        <v>58</v>
      </c>
      <c r="AJ75">
        <v>1.1102208999999399</v>
      </c>
      <c r="AK75" t="s">
        <v>49</v>
      </c>
      <c r="AO75" t="s">
        <v>50</v>
      </c>
      <c r="AP75">
        <v>1</v>
      </c>
      <c r="AQ75" t="s">
        <v>51</v>
      </c>
      <c r="AR75" t="s">
        <v>52</v>
      </c>
      <c r="AT75" t="s">
        <v>53</v>
      </c>
      <c r="AU75">
        <v>60.047942277100802</v>
      </c>
      <c r="AV75" t="s">
        <v>54</v>
      </c>
    </row>
    <row r="76" spans="1:48" x14ac:dyDescent="0.35">
      <c r="A76">
        <v>192412</v>
      </c>
      <c r="B76" t="s">
        <v>55</v>
      </c>
      <c r="C76">
        <v>1</v>
      </c>
      <c r="D76">
        <v>73</v>
      </c>
      <c r="E76">
        <v>73</v>
      </c>
      <c r="F76">
        <v>0</v>
      </c>
      <c r="G76" t="s">
        <v>58</v>
      </c>
      <c r="H76">
        <v>2.2996894000000299</v>
      </c>
      <c r="I76" t="s">
        <v>49</v>
      </c>
      <c r="J76">
        <v>0</v>
      </c>
      <c r="K76">
        <v>73</v>
      </c>
      <c r="L76">
        <v>73</v>
      </c>
      <c r="M76">
        <v>136</v>
      </c>
      <c r="N76">
        <v>341.821583699999</v>
      </c>
      <c r="W76">
        <v>1</v>
      </c>
      <c r="X76">
        <v>10</v>
      </c>
      <c r="Y76">
        <v>341.818252999999</v>
      </c>
      <c r="Z76">
        <v>341.821583699999</v>
      </c>
      <c r="AA76">
        <v>342.76123709999899</v>
      </c>
      <c r="AB76">
        <v>342.828091499999</v>
      </c>
      <c r="AC76">
        <v>343.76120939999998</v>
      </c>
      <c r="AD76">
        <v>343.76120939999998</v>
      </c>
      <c r="AE76">
        <v>345.26129789999999</v>
      </c>
      <c r="AF76">
        <v>345.26129789999999</v>
      </c>
      <c r="AG76">
        <v>345.26129789999999</v>
      </c>
      <c r="AH76">
        <v>347.56186769999903</v>
      </c>
      <c r="AI76" t="s">
        <v>58</v>
      </c>
      <c r="AJ76">
        <v>2.2996894000000299</v>
      </c>
      <c r="AK76" t="s">
        <v>49</v>
      </c>
      <c r="AO76" t="s">
        <v>50</v>
      </c>
      <c r="AP76">
        <v>1</v>
      </c>
      <c r="AQ76" t="s">
        <v>51</v>
      </c>
      <c r="AR76" t="s">
        <v>52</v>
      </c>
      <c r="AT76" t="s">
        <v>53</v>
      </c>
      <c r="AU76">
        <v>60.047942277100802</v>
      </c>
      <c r="AV76" t="s">
        <v>54</v>
      </c>
    </row>
    <row r="77" spans="1:48" x14ac:dyDescent="0.35">
      <c r="A77">
        <v>646675</v>
      </c>
      <c r="B77" t="s">
        <v>57</v>
      </c>
      <c r="C77">
        <v>3</v>
      </c>
      <c r="D77">
        <v>74</v>
      </c>
      <c r="E77">
        <v>74</v>
      </c>
      <c r="F77">
        <v>0</v>
      </c>
      <c r="G77" t="s">
        <v>58</v>
      </c>
      <c r="H77">
        <v>0.76407300000005296</v>
      </c>
      <c r="I77" t="s">
        <v>49</v>
      </c>
      <c r="J77">
        <v>0</v>
      </c>
      <c r="K77">
        <v>74</v>
      </c>
      <c r="L77">
        <v>74</v>
      </c>
      <c r="M77">
        <v>23</v>
      </c>
      <c r="N77">
        <v>347.58080289999998</v>
      </c>
      <c r="W77">
        <v>0</v>
      </c>
      <c r="X77">
        <v>0</v>
      </c>
      <c r="Y77">
        <v>347.57694769999898</v>
      </c>
      <c r="Z77">
        <v>347.58080289999998</v>
      </c>
      <c r="AA77">
        <v>348.57750110000001</v>
      </c>
      <c r="AB77">
        <v>348.59431899999998</v>
      </c>
      <c r="AC77">
        <v>349.57747549999903</v>
      </c>
      <c r="AD77">
        <v>349.57747549999903</v>
      </c>
      <c r="AE77">
        <v>351.07759929999997</v>
      </c>
      <c r="AF77">
        <v>351.07759929999997</v>
      </c>
      <c r="AG77">
        <v>351.07759929999997</v>
      </c>
      <c r="AH77">
        <v>351.8451948</v>
      </c>
      <c r="AI77" t="s">
        <v>58</v>
      </c>
      <c r="AJ77">
        <v>0.76407300000005296</v>
      </c>
      <c r="AK77" t="s">
        <v>49</v>
      </c>
      <c r="AO77" t="s">
        <v>50</v>
      </c>
      <c r="AP77">
        <v>1</v>
      </c>
      <c r="AQ77" t="s">
        <v>51</v>
      </c>
      <c r="AR77" t="s">
        <v>52</v>
      </c>
      <c r="AT77" t="s">
        <v>53</v>
      </c>
      <c r="AU77">
        <v>60.047942277100802</v>
      </c>
      <c r="AV77" t="s">
        <v>54</v>
      </c>
    </row>
    <row r="78" spans="1:48" x14ac:dyDescent="0.35">
      <c r="A78">
        <v>153225</v>
      </c>
      <c r="B78" t="s">
        <v>57</v>
      </c>
      <c r="C78">
        <v>6</v>
      </c>
      <c r="D78">
        <v>75</v>
      </c>
      <c r="E78">
        <v>75</v>
      </c>
      <c r="F78">
        <v>0</v>
      </c>
      <c r="G78" t="s">
        <v>58</v>
      </c>
      <c r="H78">
        <v>0.53539989999990201</v>
      </c>
      <c r="I78" t="s">
        <v>49</v>
      </c>
      <c r="J78">
        <v>0</v>
      </c>
      <c r="K78">
        <v>75</v>
      </c>
      <c r="L78">
        <v>75</v>
      </c>
      <c r="M78">
        <v>141</v>
      </c>
      <c r="N78">
        <v>351.86808889999998</v>
      </c>
      <c r="W78">
        <v>0</v>
      </c>
      <c r="X78">
        <v>0</v>
      </c>
      <c r="Y78">
        <v>351.86444289999997</v>
      </c>
      <c r="Z78">
        <v>351.86808889999998</v>
      </c>
      <c r="AA78">
        <v>352.86115909999899</v>
      </c>
      <c r="AB78">
        <v>352.87769220000001</v>
      </c>
      <c r="AC78">
        <v>353.86099529999899</v>
      </c>
      <c r="AD78">
        <v>353.86099529999899</v>
      </c>
      <c r="AE78">
        <v>355.36089669999899</v>
      </c>
      <c r="AF78">
        <v>355.36089669999899</v>
      </c>
      <c r="AG78">
        <v>355.36089669999899</v>
      </c>
      <c r="AH78">
        <v>355.91161319999998</v>
      </c>
      <c r="AI78" t="s">
        <v>58</v>
      </c>
      <c r="AJ78">
        <v>0.53539989999990201</v>
      </c>
      <c r="AK78" t="s">
        <v>49</v>
      </c>
      <c r="AO78" t="s">
        <v>50</v>
      </c>
      <c r="AP78">
        <v>1</v>
      </c>
      <c r="AQ78" t="s">
        <v>51</v>
      </c>
      <c r="AR78" t="s">
        <v>52</v>
      </c>
      <c r="AT78" t="s">
        <v>53</v>
      </c>
      <c r="AU78">
        <v>60.047942277100802</v>
      </c>
      <c r="AV78" t="s">
        <v>54</v>
      </c>
    </row>
    <row r="79" spans="1:48" x14ac:dyDescent="0.35">
      <c r="A79">
        <v>881958</v>
      </c>
      <c r="B79" t="s">
        <v>55</v>
      </c>
      <c r="C79">
        <v>8</v>
      </c>
      <c r="D79">
        <v>76</v>
      </c>
      <c r="E79">
        <v>76</v>
      </c>
      <c r="F79">
        <v>0</v>
      </c>
      <c r="G79" t="s">
        <v>56</v>
      </c>
      <c r="H79">
        <v>1.2351118000000201</v>
      </c>
      <c r="I79" t="s">
        <v>49</v>
      </c>
      <c r="J79">
        <v>0</v>
      </c>
      <c r="K79">
        <v>76</v>
      </c>
      <c r="L79">
        <v>76</v>
      </c>
      <c r="M79">
        <v>114</v>
      </c>
      <c r="N79">
        <v>355.92763020000001</v>
      </c>
      <c r="W79">
        <v>0</v>
      </c>
      <c r="X79">
        <v>0</v>
      </c>
      <c r="Y79">
        <v>355.92178799999903</v>
      </c>
      <c r="Z79">
        <v>355.92763020000001</v>
      </c>
      <c r="AA79">
        <v>356.91086790000003</v>
      </c>
      <c r="AB79">
        <v>356.92745039999897</v>
      </c>
      <c r="AC79">
        <v>357.9107952</v>
      </c>
      <c r="AD79">
        <v>357.9107952</v>
      </c>
      <c r="AE79">
        <v>359.41090869999999</v>
      </c>
      <c r="AF79">
        <v>359.41090869999999</v>
      </c>
      <c r="AG79">
        <v>359.41090869999999</v>
      </c>
      <c r="AH79">
        <v>360.66194089999902</v>
      </c>
      <c r="AI79" t="s">
        <v>56</v>
      </c>
      <c r="AJ79">
        <v>1.2351118000000201</v>
      </c>
      <c r="AK79" t="s">
        <v>49</v>
      </c>
      <c r="AO79" t="s">
        <v>50</v>
      </c>
      <c r="AP79">
        <v>1</v>
      </c>
      <c r="AQ79" t="s">
        <v>51</v>
      </c>
      <c r="AR79" t="s">
        <v>52</v>
      </c>
      <c r="AT79" t="s">
        <v>53</v>
      </c>
      <c r="AU79">
        <v>60.047942277100802</v>
      </c>
      <c r="AV79" t="s">
        <v>54</v>
      </c>
    </row>
    <row r="80" spans="1:48" x14ac:dyDescent="0.35">
      <c r="A80">
        <v>374563</v>
      </c>
      <c r="B80" t="s">
        <v>57</v>
      </c>
      <c r="C80">
        <v>7</v>
      </c>
      <c r="D80">
        <v>77</v>
      </c>
      <c r="E80">
        <v>77</v>
      </c>
      <c r="F80">
        <v>0</v>
      </c>
      <c r="G80" t="s">
        <v>58</v>
      </c>
      <c r="H80">
        <v>3.9282765999999998</v>
      </c>
      <c r="I80" t="s">
        <v>49</v>
      </c>
      <c r="J80">
        <v>0</v>
      </c>
      <c r="K80">
        <v>77</v>
      </c>
      <c r="L80">
        <v>77</v>
      </c>
      <c r="M80">
        <v>146</v>
      </c>
      <c r="N80">
        <v>360.68212569999997</v>
      </c>
      <c r="W80">
        <v>0</v>
      </c>
      <c r="X80">
        <v>0</v>
      </c>
      <c r="Y80">
        <v>360.67911759999998</v>
      </c>
      <c r="Z80">
        <v>360.68212569999997</v>
      </c>
      <c r="AA80">
        <v>361.67727050000002</v>
      </c>
      <c r="AB80">
        <v>361.69412080000001</v>
      </c>
      <c r="AC80">
        <v>362.67810659999998</v>
      </c>
      <c r="AD80">
        <v>362.6609881</v>
      </c>
      <c r="AE80">
        <v>364.1607879</v>
      </c>
      <c r="AF80">
        <v>364.17776959999998</v>
      </c>
      <c r="AG80">
        <v>364.17776959999998</v>
      </c>
      <c r="AH80">
        <v>368.11162859999899</v>
      </c>
      <c r="AI80" t="s">
        <v>58</v>
      </c>
      <c r="AJ80">
        <v>3.9282765999999998</v>
      </c>
      <c r="AK80" t="s">
        <v>49</v>
      </c>
      <c r="AO80" t="s">
        <v>50</v>
      </c>
      <c r="AP80">
        <v>1</v>
      </c>
      <c r="AQ80" t="s">
        <v>51</v>
      </c>
      <c r="AR80" t="s">
        <v>52</v>
      </c>
      <c r="AT80" t="s">
        <v>53</v>
      </c>
      <c r="AU80">
        <v>60.047942277100802</v>
      </c>
      <c r="AV80" t="s">
        <v>54</v>
      </c>
    </row>
    <row r="81" spans="1:48" x14ac:dyDescent="0.35">
      <c r="A81">
        <v>943478</v>
      </c>
      <c r="B81" t="s">
        <v>57</v>
      </c>
      <c r="C81">
        <v>2</v>
      </c>
      <c r="D81">
        <v>78</v>
      </c>
      <c r="E81">
        <v>78</v>
      </c>
      <c r="F81">
        <v>0</v>
      </c>
      <c r="G81" t="s">
        <v>58</v>
      </c>
      <c r="H81">
        <v>1.0356687999999299</v>
      </c>
      <c r="I81" t="s">
        <v>49</v>
      </c>
      <c r="J81">
        <v>0</v>
      </c>
      <c r="K81">
        <v>78</v>
      </c>
      <c r="L81">
        <v>78</v>
      </c>
      <c r="M81">
        <v>5</v>
      </c>
      <c r="N81">
        <v>368.17726069999998</v>
      </c>
      <c r="W81">
        <v>1</v>
      </c>
      <c r="X81">
        <v>10</v>
      </c>
      <c r="Y81">
        <v>368.17377919999899</v>
      </c>
      <c r="Z81">
        <v>368.17726069999998</v>
      </c>
      <c r="AA81">
        <v>369.12758669999999</v>
      </c>
      <c r="AB81">
        <v>369.17715199999998</v>
      </c>
      <c r="AC81">
        <v>370.12748729999998</v>
      </c>
      <c r="AD81">
        <v>370.12748729999998</v>
      </c>
      <c r="AE81">
        <v>371.62739359999898</v>
      </c>
      <c r="AF81">
        <v>371.61060700000002</v>
      </c>
      <c r="AG81">
        <v>371.61060700000002</v>
      </c>
      <c r="AH81">
        <v>372.66129969999997</v>
      </c>
      <c r="AI81" t="s">
        <v>58</v>
      </c>
      <c r="AJ81">
        <v>1.0356687999999299</v>
      </c>
      <c r="AK81" t="s">
        <v>49</v>
      </c>
      <c r="AO81" t="s">
        <v>50</v>
      </c>
      <c r="AP81">
        <v>1</v>
      </c>
      <c r="AQ81" t="s">
        <v>51</v>
      </c>
      <c r="AR81" t="s">
        <v>52</v>
      </c>
      <c r="AT81" t="s">
        <v>53</v>
      </c>
      <c r="AU81">
        <v>60.047942277100802</v>
      </c>
      <c r="AV81" t="s">
        <v>54</v>
      </c>
    </row>
    <row r="82" spans="1:48" x14ac:dyDescent="0.35">
      <c r="A82">
        <v>553693</v>
      </c>
      <c r="B82" t="s">
        <v>57</v>
      </c>
      <c r="C82">
        <v>2</v>
      </c>
      <c r="D82">
        <v>79</v>
      </c>
      <c r="E82">
        <v>79</v>
      </c>
      <c r="F82">
        <v>0</v>
      </c>
      <c r="G82" t="s">
        <v>58</v>
      </c>
      <c r="H82">
        <v>2.4788817000001</v>
      </c>
      <c r="I82" t="s">
        <v>49</v>
      </c>
      <c r="J82">
        <v>0</v>
      </c>
      <c r="K82">
        <v>79</v>
      </c>
      <c r="L82">
        <v>79</v>
      </c>
      <c r="M82">
        <v>48</v>
      </c>
      <c r="N82">
        <v>372.67717069999998</v>
      </c>
      <c r="W82">
        <v>0</v>
      </c>
      <c r="X82">
        <v>0</v>
      </c>
      <c r="Y82">
        <v>372.66756700000002</v>
      </c>
      <c r="Z82">
        <v>372.67717069999998</v>
      </c>
      <c r="AA82">
        <v>373.6604858</v>
      </c>
      <c r="AB82">
        <v>373.6773043</v>
      </c>
      <c r="AC82">
        <v>374.66042479999902</v>
      </c>
      <c r="AD82">
        <v>374.66042479999902</v>
      </c>
      <c r="AE82">
        <v>376.16056279999998</v>
      </c>
      <c r="AF82">
        <v>376.16056279999998</v>
      </c>
      <c r="AG82">
        <v>376.16056279999998</v>
      </c>
      <c r="AH82">
        <v>378.6446143</v>
      </c>
      <c r="AI82" t="s">
        <v>58</v>
      </c>
      <c r="AJ82">
        <v>2.4788817000001</v>
      </c>
      <c r="AK82" t="s">
        <v>49</v>
      </c>
      <c r="AO82" t="s">
        <v>50</v>
      </c>
      <c r="AP82">
        <v>1</v>
      </c>
      <c r="AQ82" t="s">
        <v>51</v>
      </c>
      <c r="AR82" t="s">
        <v>52</v>
      </c>
      <c r="AT82" t="s">
        <v>53</v>
      </c>
      <c r="AU82">
        <v>60.047942277100802</v>
      </c>
      <c r="AV82" t="s">
        <v>54</v>
      </c>
    </row>
    <row r="83" spans="1:48" x14ac:dyDescent="0.35">
      <c r="A83">
        <v>811912</v>
      </c>
      <c r="B83" t="s">
        <v>55</v>
      </c>
      <c r="C83">
        <v>2</v>
      </c>
      <c r="D83">
        <v>80</v>
      </c>
      <c r="E83">
        <v>80</v>
      </c>
      <c r="F83">
        <v>0</v>
      </c>
      <c r="G83" t="s">
        <v>56</v>
      </c>
      <c r="H83">
        <v>1.06254249999994</v>
      </c>
      <c r="I83" t="s">
        <v>49</v>
      </c>
      <c r="J83">
        <v>0</v>
      </c>
      <c r="K83">
        <v>80</v>
      </c>
      <c r="L83">
        <v>80</v>
      </c>
      <c r="M83">
        <v>43</v>
      </c>
      <c r="N83">
        <v>378.69652559999997</v>
      </c>
      <c r="W83">
        <v>1</v>
      </c>
      <c r="X83">
        <v>10</v>
      </c>
      <c r="Y83">
        <v>378.69247019999898</v>
      </c>
      <c r="Z83">
        <v>378.69652559999997</v>
      </c>
      <c r="AA83">
        <v>379.660613299999</v>
      </c>
      <c r="AB83">
        <v>379.71048349999899</v>
      </c>
      <c r="AC83">
        <v>380.66053359999898</v>
      </c>
      <c r="AD83">
        <v>380.66053359999898</v>
      </c>
      <c r="AE83">
        <v>382.16069090000002</v>
      </c>
      <c r="AF83">
        <v>382.14382099999898</v>
      </c>
      <c r="AG83">
        <v>382.14382099999898</v>
      </c>
      <c r="AH83">
        <v>383.21095739999998</v>
      </c>
      <c r="AI83" t="s">
        <v>56</v>
      </c>
      <c r="AJ83">
        <v>1.06254249999994</v>
      </c>
      <c r="AK83" t="s">
        <v>49</v>
      </c>
      <c r="AO83" t="s">
        <v>50</v>
      </c>
      <c r="AP83">
        <v>1</v>
      </c>
      <c r="AQ83" t="s">
        <v>51</v>
      </c>
      <c r="AR83" t="s">
        <v>52</v>
      </c>
      <c r="AT83" t="s">
        <v>53</v>
      </c>
      <c r="AU83">
        <v>60.047942277100802</v>
      </c>
      <c r="AV83" t="s">
        <v>54</v>
      </c>
    </row>
    <row r="84" spans="1:48" x14ac:dyDescent="0.35">
      <c r="A84">
        <v>914382</v>
      </c>
      <c r="B84" t="s">
        <v>57</v>
      </c>
      <c r="C84">
        <v>7</v>
      </c>
      <c r="D84">
        <v>81</v>
      </c>
      <c r="E84">
        <v>81</v>
      </c>
      <c r="F84">
        <v>0</v>
      </c>
      <c r="G84" t="s">
        <v>58</v>
      </c>
      <c r="H84">
        <v>0.95109889999991903</v>
      </c>
      <c r="I84" t="s">
        <v>49</v>
      </c>
      <c r="J84">
        <v>0</v>
      </c>
      <c r="K84">
        <v>81</v>
      </c>
      <c r="L84">
        <v>81</v>
      </c>
      <c r="M84">
        <v>126</v>
      </c>
      <c r="N84">
        <v>383.26872499999899</v>
      </c>
      <c r="W84">
        <v>1</v>
      </c>
      <c r="X84">
        <v>10</v>
      </c>
      <c r="Y84">
        <v>383.26506030000002</v>
      </c>
      <c r="Z84">
        <v>383.26872499999899</v>
      </c>
      <c r="AA84">
        <v>384.21047900000002</v>
      </c>
      <c r="AB84">
        <v>384.2771687</v>
      </c>
      <c r="AC84">
        <v>385.21031079999898</v>
      </c>
      <c r="AD84">
        <v>385.21031079999898</v>
      </c>
      <c r="AE84">
        <v>386.7105396</v>
      </c>
      <c r="AF84">
        <v>386.7105396</v>
      </c>
      <c r="AG84">
        <v>386.7105396</v>
      </c>
      <c r="AH84">
        <v>387.67788309999997</v>
      </c>
      <c r="AI84" t="s">
        <v>58</v>
      </c>
      <c r="AJ84">
        <v>0.95109889999991903</v>
      </c>
      <c r="AK84" t="s">
        <v>49</v>
      </c>
      <c r="AO84" t="s">
        <v>50</v>
      </c>
      <c r="AP84">
        <v>1</v>
      </c>
      <c r="AQ84" t="s">
        <v>51</v>
      </c>
      <c r="AR84" t="s">
        <v>52</v>
      </c>
      <c r="AT84" t="s">
        <v>53</v>
      </c>
      <c r="AU84">
        <v>60.047942277100802</v>
      </c>
      <c r="AV84" t="s">
        <v>54</v>
      </c>
    </row>
    <row r="85" spans="1:48" x14ac:dyDescent="0.35">
      <c r="A85">
        <v>699969</v>
      </c>
      <c r="B85" t="s">
        <v>57</v>
      </c>
      <c r="C85">
        <v>7</v>
      </c>
      <c r="D85">
        <v>82</v>
      </c>
      <c r="E85">
        <v>82</v>
      </c>
      <c r="F85">
        <v>0</v>
      </c>
      <c r="G85" t="s">
        <v>58</v>
      </c>
      <c r="H85">
        <v>1.01135199999998</v>
      </c>
      <c r="I85" t="s">
        <v>49</v>
      </c>
      <c r="J85">
        <v>0</v>
      </c>
      <c r="K85">
        <v>82</v>
      </c>
      <c r="L85">
        <v>82</v>
      </c>
      <c r="M85">
        <v>67</v>
      </c>
      <c r="N85">
        <v>387.73451099999897</v>
      </c>
      <c r="W85">
        <v>1</v>
      </c>
      <c r="X85">
        <v>10</v>
      </c>
      <c r="Y85">
        <v>387.73169589999998</v>
      </c>
      <c r="Z85">
        <v>387.73451099999897</v>
      </c>
      <c r="AA85">
        <v>388.69357059999999</v>
      </c>
      <c r="AB85">
        <v>388.72715030000001</v>
      </c>
      <c r="AC85">
        <v>389.693602</v>
      </c>
      <c r="AD85">
        <v>389.693602</v>
      </c>
      <c r="AE85">
        <v>391.19366450000001</v>
      </c>
      <c r="AF85">
        <v>391.19366450000001</v>
      </c>
      <c r="AG85">
        <v>391.19366450000001</v>
      </c>
      <c r="AH85">
        <v>392.21090369999899</v>
      </c>
      <c r="AI85" t="s">
        <v>58</v>
      </c>
      <c r="AJ85">
        <v>1.01135199999998</v>
      </c>
      <c r="AK85" t="s">
        <v>49</v>
      </c>
      <c r="AO85" t="s">
        <v>50</v>
      </c>
      <c r="AP85">
        <v>1</v>
      </c>
      <c r="AQ85" t="s">
        <v>51</v>
      </c>
      <c r="AR85" t="s">
        <v>52</v>
      </c>
      <c r="AT85" t="s">
        <v>53</v>
      </c>
      <c r="AU85">
        <v>60.047942277100802</v>
      </c>
      <c r="AV85" t="s">
        <v>54</v>
      </c>
    </row>
    <row r="86" spans="1:48" x14ac:dyDescent="0.35">
      <c r="A86">
        <v>429725</v>
      </c>
      <c r="B86" t="s">
        <v>57</v>
      </c>
      <c r="C86">
        <v>2</v>
      </c>
      <c r="D86">
        <v>83</v>
      </c>
      <c r="E86">
        <v>83</v>
      </c>
      <c r="F86">
        <v>0</v>
      </c>
      <c r="G86" t="s">
        <v>58</v>
      </c>
      <c r="H86">
        <v>0.89461950000008905</v>
      </c>
      <c r="I86" t="s">
        <v>49</v>
      </c>
      <c r="J86">
        <v>0</v>
      </c>
      <c r="K86">
        <v>83</v>
      </c>
      <c r="L86">
        <v>83</v>
      </c>
      <c r="M86">
        <v>127</v>
      </c>
      <c r="N86">
        <v>392.233792899999</v>
      </c>
      <c r="W86">
        <v>0</v>
      </c>
      <c r="X86">
        <v>0</v>
      </c>
      <c r="Y86">
        <v>392.22998969999998</v>
      </c>
      <c r="Z86">
        <v>392.233792899999</v>
      </c>
      <c r="AA86">
        <v>393.21017399999999</v>
      </c>
      <c r="AB86">
        <v>393.24357849999899</v>
      </c>
      <c r="AC86">
        <v>394.21003119999898</v>
      </c>
      <c r="AD86">
        <v>394.21003119999898</v>
      </c>
      <c r="AE86">
        <v>395.71021449999898</v>
      </c>
      <c r="AF86">
        <v>395.71021449999898</v>
      </c>
      <c r="AG86">
        <v>395.71021449999898</v>
      </c>
      <c r="AH86">
        <v>396.61115619999998</v>
      </c>
      <c r="AI86" t="s">
        <v>58</v>
      </c>
      <c r="AJ86">
        <v>0.89461950000008905</v>
      </c>
      <c r="AK86" t="s">
        <v>49</v>
      </c>
      <c r="AO86" t="s">
        <v>50</v>
      </c>
      <c r="AP86">
        <v>1</v>
      </c>
      <c r="AQ86" t="s">
        <v>51</v>
      </c>
      <c r="AR86" t="s">
        <v>52</v>
      </c>
      <c r="AT86" t="s">
        <v>53</v>
      </c>
      <c r="AU86">
        <v>60.047942277100802</v>
      </c>
      <c r="AV86" t="s">
        <v>54</v>
      </c>
    </row>
    <row r="87" spans="1:48" x14ac:dyDescent="0.35">
      <c r="A87">
        <v>706714</v>
      </c>
      <c r="B87" t="s">
        <v>57</v>
      </c>
      <c r="C87">
        <v>3</v>
      </c>
      <c r="D87">
        <v>84</v>
      </c>
      <c r="E87">
        <v>84</v>
      </c>
      <c r="F87">
        <v>0</v>
      </c>
      <c r="G87" t="s">
        <v>58</v>
      </c>
      <c r="H87">
        <v>0.59518229999991901</v>
      </c>
      <c r="I87" t="s">
        <v>49</v>
      </c>
      <c r="J87">
        <v>0</v>
      </c>
      <c r="K87">
        <v>84</v>
      </c>
      <c r="L87">
        <v>84</v>
      </c>
      <c r="M87">
        <v>139</v>
      </c>
      <c r="N87">
        <v>396.68878269999999</v>
      </c>
      <c r="W87">
        <v>1</v>
      </c>
      <c r="X87">
        <v>10</v>
      </c>
      <c r="Y87">
        <v>396.68519090000001</v>
      </c>
      <c r="Z87">
        <v>396.68878269999999</v>
      </c>
      <c r="AA87">
        <v>397.62683659999999</v>
      </c>
      <c r="AB87">
        <v>397.69356379999903</v>
      </c>
      <c r="AC87">
        <v>398.62671749999998</v>
      </c>
      <c r="AD87">
        <v>398.62671749999998</v>
      </c>
      <c r="AE87">
        <v>400.12682239999998</v>
      </c>
      <c r="AF87">
        <v>400.12682239999998</v>
      </c>
      <c r="AG87">
        <v>400.12682239999998</v>
      </c>
      <c r="AH87">
        <v>400.72753039999998</v>
      </c>
      <c r="AI87" t="s">
        <v>58</v>
      </c>
      <c r="AJ87">
        <v>0.59518229999991901</v>
      </c>
      <c r="AK87" t="s">
        <v>49</v>
      </c>
      <c r="AO87" t="s">
        <v>50</v>
      </c>
      <c r="AP87">
        <v>1</v>
      </c>
      <c r="AQ87" t="s">
        <v>51</v>
      </c>
      <c r="AR87" t="s">
        <v>52</v>
      </c>
      <c r="AT87" t="s">
        <v>53</v>
      </c>
      <c r="AU87">
        <v>60.047942277100802</v>
      </c>
      <c r="AV87" t="s">
        <v>54</v>
      </c>
    </row>
    <row r="88" spans="1:48" x14ac:dyDescent="0.35">
      <c r="A88">
        <v>523388</v>
      </c>
      <c r="B88" t="s">
        <v>57</v>
      </c>
      <c r="C88">
        <v>7</v>
      </c>
      <c r="D88">
        <v>85</v>
      </c>
      <c r="E88">
        <v>85</v>
      </c>
      <c r="F88">
        <v>0</v>
      </c>
      <c r="G88" t="s">
        <v>58</v>
      </c>
      <c r="H88">
        <v>0.88322809999999596</v>
      </c>
      <c r="I88" t="s">
        <v>49</v>
      </c>
      <c r="J88">
        <v>0</v>
      </c>
      <c r="K88">
        <v>85</v>
      </c>
      <c r="L88">
        <v>85</v>
      </c>
      <c r="M88">
        <v>36</v>
      </c>
      <c r="N88">
        <v>400.74595900000003</v>
      </c>
      <c r="W88">
        <v>0</v>
      </c>
      <c r="X88">
        <v>0</v>
      </c>
      <c r="Y88">
        <v>400.7424292</v>
      </c>
      <c r="Z88">
        <v>400.74595900000003</v>
      </c>
      <c r="AA88">
        <v>401.72688429999999</v>
      </c>
      <c r="AB88">
        <v>401.76031219999999</v>
      </c>
      <c r="AC88">
        <v>402.72699440000002</v>
      </c>
      <c r="AD88">
        <v>402.72699440000002</v>
      </c>
      <c r="AE88">
        <v>404.22670349999999</v>
      </c>
      <c r="AF88">
        <v>404.243512299999</v>
      </c>
      <c r="AG88">
        <v>404.243512299999</v>
      </c>
      <c r="AH88">
        <v>405.12766640000001</v>
      </c>
      <c r="AI88" t="s">
        <v>58</v>
      </c>
      <c r="AJ88">
        <v>0.88322809999999596</v>
      </c>
      <c r="AK88" t="s">
        <v>49</v>
      </c>
      <c r="AO88" t="s">
        <v>50</v>
      </c>
      <c r="AP88">
        <v>1</v>
      </c>
      <c r="AQ88" t="s">
        <v>51</v>
      </c>
      <c r="AR88" t="s">
        <v>52</v>
      </c>
      <c r="AT88" t="s">
        <v>53</v>
      </c>
      <c r="AU88">
        <v>60.047942277100802</v>
      </c>
      <c r="AV88" t="s">
        <v>54</v>
      </c>
    </row>
    <row r="89" spans="1:48" x14ac:dyDescent="0.35">
      <c r="A89">
        <v>746489</v>
      </c>
      <c r="B89" t="s">
        <v>55</v>
      </c>
      <c r="C89">
        <v>7</v>
      </c>
      <c r="D89">
        <v>86</v>
      </c>
      <c r="E89">
        <v>86</v>
      </c>
      <c r="F89">
        <v>0</v>
      </c>
      <c r="G89" t="s">
        <v>58</v>
      </c>
      <c r="H89">
        <v>1.3289186000000599</v>
      </c>
      <c r="I89" t="s">
        <v>49</v>
      </c>
      <c r="J89">
        <v>0</v>
      </c>
      <c r="K89">
        <v>86</v>
      </c>
      <c r="L89">
        <v>86</v>
      </c>
      <c r="M89">
        <v>54</v>
      </c>
      <c r="N89">
        <v>405.14326849999998</v>
      </c>
      <c r="W89">
        <v>0</v>
      </c>
      <c r="X89">
        <v>0</v>
      </c>
      <c r="Y89">
        <v>405.13483259999998</v>
      </c>
      <c r="Z89">
        <v>405.14326849999998</v>
      </c>
      <c r="AA89">
        <v>406.12694059999899</v>
      </c>
      <c r="AB89">
        <v>406.14341719999999</v>
      </c>
      <c r="AC89">
        <v>407.12677619999897</v>
      </c>
      <c r="AD89">
        <v>407.14343389999902</v>
      </c>
      <c r="AE89">
        <v>408.64320900000001</v>
      </c>
      <c r="AF89">
        <v>408.64320900000001</v>
      </c>
      <c r="AG89">
        <v>408.64320900000001</v>
      </c>
      <c r="AH89">
        <v>409.97754629999997</v>
      </c>
      <c r="AI89" t="s">
        <v>58</v>
      </c>
      <c r="AJ89">
        <v>1.3289186000000599</v>
      </c>
      <c r="AK89" t="s">
        <v>49</v>
      </c>
      <c r="AO89" t="s">
        <v>50</v>
      </c>
      <c r="AP89">
        <v>1</v>
      </c>
      <c r="AQ89" t="s">
        <v>51</v>
      </c>
      <c r="AR89" t="s">
        <v>52</v>
      </c>
      <c r="AT89" t="s">
        <v>53</v>
      </c>
      <c r="AU89">
        <v>60.047942277100802</v>
      </c>
      <c r="AV89" t="s">
        <v>54</v>
      </c>
    </row>
    <row r="90" spans="1:48" x14ac:dyDescent="0.35">
      <c r="A90">
        <v>220092</v>
      </c>
      <c r="B90" t="s">
        <v>57</v>
      </c>
      <c r="C90">
        <v>7</v>
      </c>
      <c r="D90">
        <v>87</v>
      </c>
      <c r="E90">
        <v>87</v>
      </c>
      <c r="F90">
        <v>0</v>
      </c>
      <c r="G90" t="s">
        <v>58</v>
      </c>
      <c r="H90">
        <v>1.8997173999999799</v>
      </c>
      <c r="I90" t="s">
        <v>49</v>
      </c>
      <c r="J90">
        <v>0</v>
      </c>
      <c r="K90">
        <v>87</v>
      </c>
      <c r="L90">
        <v>87</v>
      </c>
      <c r="M90">
        <v>108</v>
      </c>
      <c r="N90">
        <v>410.03566389999997</v>
      </c>
      <c r="W90">
        <v>1</v>
      </c>
      <c r="X90">
        <v>10</v>
      </c>
      <c r="Y90">
        <v>410.03220240000002</v>
      </c>
      <c r="Z90">
        <v>410.03566389999997</v>
      </c>
      <c r="AA90">
        <v>410.99316499999998</v>
      </c>
      <c r="AB90">
        <v>411.04314689999899</v>
      </c>
      <c r="AC90">
        <v>411.99324589999998</v>
      </c>
      <c r="AD90">
        <v>411.97673700000001</v>
      </c>
      <c r="AE90">
        <v>413.476511799999</v>
      </c>
      <c r="AF90">
        <v>413.49315599999898</v>
      </c>
      <c r="AG90">
        <v>413.49315599999898</v>
      </c>
      <c r="AH90">
        <v>415.39413199999899</v>
      </c>
      <c r="AI90" t="s">
        <v>58</v>
      </c>
      <c r="AJ90">
        <v>1.8997173999999799</v>
      </c>
      <c r="AK90" t="s">
        <v>49</v>
      </c>
      <c r="AO90" t="s">
        <v>50</v>
      </c>
      <c r="AP90">
        <v>1</v>
      </c>
      <c r="AQ90" t="s">
        <v>51</v>
      </c>
      <c r="AR90" t="s">
        <v>52</v>
      </c>
      <c r="AT90" t="s">
        <v>53</v>
      </c>
      <c r="AU90">
        <v>60.047942277100802</v>
      </c>
      <c r="AV90" t="s">
        <v>54</v>
      </c>
    </row>
    <row r="91" spans="1:48" x14ac:dyDescent="0.35">
      <c r="A91">
        <v>308930</v>
      </c>
      <c r="B91" t="s">
        <v>55</v>
      </c>
      <c r="C91">
        <v>8</v>
      </c>
      <c r="D91">
        <v>88</v>
      </c>
      <c r="E91">
        <v>88</v>
      </c>
      <c r="F91">
        <v>0</v>
      </c>
      <c r="G91" t="s">
        <v>56</v>
      </c>
      <c r="H91">
        <v>1.1032397999999799</v>
      </c>
      <c r="I91" t="s">
        <v>49</v>
      </c>
      <c r="J91">
        <v>0</v>
      </c>
      <c r="K91">
        <v>88</v>
      </c>
      <c r="L91">
        <v>88</v>
      </c>
      <c r="M91">
        <v>77</v>
      </c>
      <c r="N91">
        <v>415.48235829999902</v>
      </c>
      <c r="W91">
        <v>1</v>
      </c>
      <c r="X91">
        <v>10</v>
      </c>
      <c r="Y91">
        <v>415.47803270000003</v>
      </c>
      <c r="Z91">
        <v>415.48235829999902</v>
      </c>
      <c r="AA91">
        <v>416.409918</v>
      </c>
      <c r="AB91">
        <v>416.49321600000002</v>
      </c>
      <c r="AC91">
        <v>417.41004170000002</v>
      </c>
      <c r="AD91">
        <v>417.39330260000003</v>
      </c>
      <c r="AE91">
        <v>418.89293719999898</v>
      </c>
      <c r="AF91">
        <v>418.90988179999903</v>
      </c>
      <c r="AG91">
        <v>418.90988179999903</v>
      </c>
      <c r="AH91">
        <v>420.02752099999998</v>
      </c>
      <c r="AI91" t="s">
        <v>56</v>
      </c>
      <c r="AJ91">
        <v>1.1032397999999799</v>
      </c>
      <c r="AK91" t="s">
        <v>49</v>
      </c>
      <c r="AO91" t="s">
        <v>50</v>
      </c>
      <c r="AP91">
        <v>1</v>
      </c>
      <c r="AQ91" t="s">
        <v>51</v>
      </c>
      <c r="AR91" t="s">
        <v>52</v>
      </c>
      <c r="AT91" t="s">
        <v>53</v>
      </c>
      <c r="AU91">
        <v>60.047942277100802</v>
      </c>
      <c r="AV91" t="s">
        <v>54</v>
      </c>
    </row>
    <row r="92" spans="1:48" x14ac:dyDescent="0.35">
      <c r="A92">
        <v>397099</v>
      </c>
      <c r="B92" t="s">
        <v>57</v>
      </c>
      <c r="C92">
        <v>1</v>
      </c>
      <c r="D92">
        <v>89</v>
      </c>
      <c r="E92">
        <v>89</v>
      </c>
      <c r="F92">
        <v>0</v>
      </c>
      <c r="G92" t="s">
        <v>58</v>
      </c>
      <c r="H92">
        <v>2.42989969999996</v>
      </c>
      <c r="I92" t="s">
        <v>49</v>
      </c>
      <c r="J92">
        <v>0</v>
      </c>
      <c r="K92">
        <v>89</v>
      </c>
      <c r="L92">
        <v>89</v>
      </c>
      <c r="M92">
        <v>137</v>
      </c>
      <c r="N92">
        <v>420.094146999999</v>
      </c>
      <c r="W92">
        <v>1</v>
      </c>
      <c r="X92">
        <v>10</v>
      </c>
      <c r="Y92">
        <v>420.0904721</v>
      </c>
      <c r="Z92">
        <v>420.094146999999</v>
      </c>
      <c r="AA92">
        <v>421.04314049999999</v>
      </c>
      <c r="AB92">
        <v>421.09377000000001</v>
      </c>
      <c r="AC92">
        <v>422.04327069999903</v>
      </c>
      <c r="AD92">
        <v>422.04327069999903</v>
      </c>
      <c r="AE92">
        <v>423.54311799999999</v>
      </c>
      <c r="AF92">
        <v>423.54311799999999</v>
      </c>
      <c r="AG92">
        <v>423.54311799999999</v>
      </c>
      <c r="AH92">
        <v>425.97709029999999</v>
      </c>
      <c r="AI92" t="s">
        <v>58</v>
      </c>
      <c r="AJ92">
        <v>2.42989969999996</v>
      </c>
      <c r="AK92" t="s">
        <v>49</v>
      </c>
      <c r="AO92" t="s">
        <v>50</v>
      </c>
      <c r="AP92">
        <v>1</v>
      </c>
      <c r="AQ92" t="s">
        <v>51</v>
      </c>
      <c r="AR92" t="s">
        <v>52</v>
      </c>
      <c r="AT92" t="s">
        <v>53</v>
      </c>
      <c r="AU92">
        <v>60.047942277100802</v>
      </c>
      <c r="AV92" t="s">
        <v>54</v>
      </c>
    </row>
    <row r="93" spans="1:48" x14ac:dyDescent="0.35">
      <c r="A93">
        <v>887954</v>
      </c>
      <c r="B93" t="s">
        <v>57</v>
      </c>
      <c r="C93">
        <v>6</v>
      </c>
      <c r="D93">
        <v>90</v>
      </c>
      <c r="E93">
        <v>90</v>
      </c>
      <c r="F93">
        <v>0</v>
      </c>
      <c r="G93" t="s">
        <v>58</v>
      </c>
      <c r="H93">
        <v>0.930437999999981</v>
      </c>
      <c r="I93" t="s">
        <v>49</v>
      </c>
      <c r="J93">
        <v>0</v>
      </c>
      <c r="K93">
        <v>90</v>
      </c>
      <c r="L93">
        <v>90</v>
      </c>
      <c r="M93">
        <v>138</v>
      </c>
      <c r="N93">
        <v>425.99852589999898</v>
      </c>
      <c r="W93">
        <v>0</v>
      </c>
      <c r="X93">
        <v>0</v>
      </c>
      <c r="Y93">
        <v>425.99474989999902</v>
      </c>
      <c r="Z93">
        <v>425.99852589999898</v>
      </c>
      <c r="AA93">
        <v>426.9929219</v>
      </c>
      <c r="AB93">
        <v>427.009492999999</v>
      </c>
      <c r="AC93">
        <v>427.99305509999903</v>
      </c>
      <c r="AD93">
        <v>427.99305509999903</v>
      </c>
      <c r="AE93">
        <v>429.49344609999901</v>
      </c>
      <c r="AF93">
        <v>429.49344609999901</v>
      </c>
      <c r="AG93">
        <v>429.49344609999901</v>
      </c>
      <c r="AH93">
        <v>430.42833679999899</v>
      </c>
      <c r="AI93" t="s">
        <v>58</v>
      </c>
      <c r="AJ93">
        <v>0.930437999999981</v>
      </c>
      <c r="AK93" t="s">
        <v>49</v>
      </c>
      <c r="AO93" t="s">
        <v>50</v>
      </c>
      <c r="AP93">
        <v>1</v>
      </c>
      <c r="AQ93" t="s">
        <v>51</v>
      </c>
      <c r="AR93" t="s">
        <v>52</v>
      </c>
      <c r="AT93" t="s">
        <v>53</v>
      </c>
      <c r="AU93">
        <v>60.047942277100802</v>
      </c>
      <c r="AV93" t="s">
        <v>54</v>
      </c>
    </row>
    <row r="94" spans="1:48" x14ac:dyDescent="0.35">
      <c r="A94">
        <v>666674</v>
      </c>
      <c r="B94" t="s">
        <v>55</v>
      </c>
      <c r="C94">
        <v>4</v>
      </c>
      <c r="D94">
        <v>91</v>
      </c>
      <c r="E94">
        <v>91</v>
      </c>
      <c r="F94">
        <v>0</v>
      </c>
      <c r="G94" t="s">
        <v>58</v>
      </c>
      <c r="H94">
        <v>3.5208883999999898</v>
      </c>
      <c r="I94" t="s">
        <v>49</v>
      </c>
      <c r="J94">
        <v>0</v>
      </c>
      <c r="K94">
        <v>91</v>
      </c>
      <c r="L94">
        <v>91</v>
      </c>
      <c r="M94">
        <v>57</v>
      </c>
      <c r="N94">
        <v>430.44962249999998</v>
      </c>
      <c r="W94">
        <v>0</v>
      </c>
      <c r="X94">
        <v>0</v>
      </c>
      <c r="Y94">
        <v>430.446053599999</v>
      </c>
      <c r="Z94">
        <v>430.44962249999998</v>
      </c>
      <c r="AA94">
        <v>431.44313449999999</v>
      </c>
      <c r="AB94">
        <v>431.4595314</v>
      </c>
      <c r="AC94">
        <v>432.4432271</v>
      </c>
      <c r="AD94">
        <v>432.4432271</v>
      </c>
      <c r="AE94">
        <v>433.94305129999998</v>
      </c>
      <c r="AF94">
        <v>433.94305129999998</v>
      </c>
      <c r="AG94">
        <v>433.94305129999998</v>
      </c>
      <c r="AH94">
        <v>437.47707209999902</v>
      </c>
      <c r="AI94" t="s">
        <v>58</v>
      </c>
      <c r="AJ94">
        <v>3.5208883999999898</v>
      </c>
      <c r="AK94" t="s">
        <v>49</v>
      </c>
      <c r="AO94" t="s">
        <v>50</v>
      </c>
      <c r="AP94">
        <v>1</v>
      </c>
      <c r="AQ94" t="s">
        <v>51</v>
      </c>
      <c r="AR94" t="s">
        <v>52</v>
      </c>
      <c r="AT94" t="s">
        <v>53</v>
      </c>
      <c r="AU94">
        <v>60.047942277100802</v>
      </c>
      <c r="AV94" t="s">
        <v>54</v>
      </c>
    </row>
    <row r="95" spans="1:48" x14ac:dyDescent="0.35">
      <c r="A95">
        <v>634585</v>
      </c>
      <c r="B95" t="s">
        <v>55</v>
      </c>
      <c r="C95">
        <v>3</v>
      </c>
      <c r="D95">
        <v>92</v>
      </c>
      <c r="E95">
        <v>92</v>
      </c>
      <c r="F95">
        <v>0</v>
      </c>
      <c r="G95" t="s">
        <v>58</v>
      </c>
      <c r="H95">
        <v>3.76347699999996</v>
      </c>
      <c r="I95" t="s">
        <v>49</v>
      </c>
      <c r="J95">
        <v>0</v>
      </c>
      <c r="K95">
        <v>92</v>
      </c>
      <c r="L95">
        <v>92</v>
      </c>
      <c r="M95">
        <v>59</v>
      </c>
      <c r="N95">
        <v>437.54155409999998</v>
      </c>
      <c r="W95">
        <v>1</v>
      </c>
      <c r="X95">
        <v>10</v>
      </c>
      <c r="Y95">
        <v>437.53833389999897</v>
      </c>
      <c r="Z95">
        <v>437.54155409999998</v>
      </c>
      <c r="AA95">
        <v>438.47627359999899</v>
      </c>
      <c r="AB95">
        <v>438.54292930000003</v>
      </c>
      <c r="AC95">
        <v>439.47616160000001</v>
      </c>
      <c r="AD95">
        <v>439.49372160000001</v>
      </c>
      <c r="AE95">
        <v>440.99288769999998</v>
      </c>
      <c r="AF95">
        <v>440.99288769999998</v>
      </c>
      <c r="AG95">
        <v>440.99288769999998</v>
      </c>
      <c r="AH95">
        <v>444.7608955</v>
      </c>
      <c r="AI95" t="s">
        <v>58</v>
      </c>
      <c r="AJ95">
        <v>3.76347699999996</v>
      </c>
      <c r="AK95" t="s">
        <v>49</v>
      </c>
      <c r="AO95" t="s">
        <v>50</v>
      </c>
      <c r="AP95">
        <v>1</v>
      </c>
      <c r="AQ95" t="s">
        <v>51</v>
      </c>
      <c r="AR95" t="s">
        <v>52</v>
      </c>
      <c r="AT95" t="s">
        <v>53</v>
      </c>
      <c r="AU95">
        <v>60.047942277100802</v>
      </c>
      <c r="AV95" t="s">
        <v>54</v>
      </c>
    </row>
    <row r="96" spans="1:48" x14ac:dyDescent="0.35">
      <c r="A96">
        <v>397112</v>
      </c>
      <c r="B96" t="s">
        <v>57</v>
      </c>
      <c r="C96">
        <v>5</v>
      </c>
      <c r="D96">
        <v>93</v>
      </c>
      <c r="E96">
        <v>93</v>
      </c>
      <c r="F96">
        <v>0</v>
      </c>
      <c r="G96" t="s">
        <v>58</v>
      </c>
      <c r="H96">
        <v>2.2140984000000099</v>
      </c>
      <c r="I96" t="s">
        <v>49</v>
      </c>
      <c r="J96">
        <v>0</v>
      </c>
      <c r="K96">
        <v>93</v>
      </c>
      <c r="L96">
        <v>93</v>
      </c>
      <c r="M96">
        <v>38</v>
      </c>
      <c r="N96">
        <v>444.77589949999998</v>
      </c>
      <c r="W96">
        <v>0</v>
      </c>
      <c r="X96">
        <v>0</v>
      </c>
      <c r="Y96">
        <v>444.77251929999898</v>
      </c>
      <c r="Z96">
        <v>444.77589949999998</v>
      </c>
      <c r="AA96">
        <v>445.75978159999897</v>
      </c>
      <c r="AB96">
        <v>445.776184</v>
      </c>
      <c r="AC96">
        <v>446.75931999999898</v>
      </c>
      <c r="AD96">
        <v>446.77585110000001</v>
      </c>
      <c r="AE96">
        <v>448.27594069999998</v>
      </c>
      <c r="AF96">
        <v>448.27594069999998</v>
      </c>
      <c r="AG96">
        <v>448.27594069999998</v>
      </c>
      <c r="AH96">
        <v>450.49362949999897</v>
      </c>
      <c r="AI96" t="s">
        <v>58</v>
      </c>
      <c r="AJ96">
        <v>2.2140984000000099</v>
      </c>
      <c r="AK96" t="s">
        <v>49</v>
      </c>
      <c r="AO96" t="s">
        <v>50</v>
      </c>
      <c r="AP96">
        <v>1</v>
      </c>
      <c r="AQ96" t="s">
        <v>51</v>
      </c>
      <c r="AR96" t="s">
        <v>52</v>
      </c>
      <c r="AT96" t="s">
        <v>53</v>
      </c>
      <c r="AU96">
        <v>60.047942277100802</v>
      </c>
      <c r="AV96" t="s">
        <v>54</v>
      </c>
    </row>
    <row r="97" spans="1:48" x14ac:dyDescent="0.35">
      <c r="A97">
        <v>821020</v>
      </c>
      <c r="B97" t="s">
        <v>57</v>
      </c>
      <c r="C97">
        <v>9</v>
      </c>
      <c r="D97">
        <v>94</v>
      </c>
      <c r="E97">
        <v>94</v>
      </c>
      <c r="F97">
        <v>0</v>
      </c>
      <c r="G97" t="s">
        <v>58</v>
      </c>
      <c r="H97">
        <v>0.80373629999996798</v>
      </c>
      <c r="I97" t="s">
        <v>49</v>
      </c>
      <c r="J97">
        <v>0</v>
      </c>
      <c r="K97">
        <v>94</v>
      </c>
      <c r="L97">
        <v>94</v>
      </c>
      <c r="M97">
        <v>111</v>
      </c>
      <c r="N97">
        <v>450.56382239999999</v>
      </c>
      <c r="W97">
        <v>1</v>
      </c>
      <c r="X97">
        <v>10</v>
      </c>
      <c r="Y97">
        <v>450.56008639999999</v>
      </c>
      <c r="Z97">
        <v>450.56382239999999</v>
      </c>
      <c r="AA97">
        <v>451.492954099999</v>
      </c>
      <c r="AB97">
        <v>451.57606609999999</v>
      </c>
      <c r="AC97">
        <v>452.492790299999</v>
      </c>
      <c r="AD97">
        <v>452.50941310000002</v>
      </c>
      <c r="AE97">
        <v>454.0095164</v>
      </c>
      <c r="AF97">
        <v>453.99295919999997</v>
      </c>
      <c r="AG97">
        <v>453.99295919999997</v>
      </c>
      <c r="AH97">
        <v>454.810038499999</v>
      </c>
      <c r="AI97" t="s">
        <v>58</v>
      </c>
      <c r="AJ97">
        <v>0.80373629999996798</v>
      </c>
      <c r="AK97" t="s">
        <v>49</v>
      </c>
      <c r="AO97" t="s">
        <v>50</v>
      </c>
      <c r="AP97">
        <v>1</v>
      </c>
      <c r="AQ97" t="s">
        <v>51</v>
      </c>
      <c r="AR97" t="s">
        <v>52</v>
      </c>
      <c r="AT97" t="s">
        <v>53</v>
      </c>
      <c r="AU97">
        <v>60.047942277100802</v>
      </c>
      <c r="AV97" t="s">
        <v>54</v>
      </c>
    </row>
    <row r="98" spans="1:48" x14ac:dyDescent="0.35">
      <c r="A98">
        <v>610509</v>
      </c>
      <c r="B98" t="s">
        <v>55</v>
      </c>
      <c r="C98">
        <v>6</v>
      </c>
      <c r="D98">
        <v>95</v>
      </c>
      <c r="E98">
        <v>95</v>
      </c>
      <c r="F98">
        <v>0</v>
      </c>
      <c r="G98" t="s">
        <v>58</v>
      </c>
      <c r="H98">
        <v>2.1491852999999899</v>
      </c>
      <c r="I98" t="s">
        <v>49</v>
      </c>
      <c r="J98">
        <v>0</v>
      </c>
      <c r="K98">
        <v>95</v>
      </c>
      <c r="L98">
        <v>95</v>
      </c>
      <c r="M98">
        <v>16</v>
      </c>
      <c r="N98">
        <v>454.82741809999999</v>
      </c>
      <c r="W98">
        <v>0</v>
      </c>
      <c r="X98">
        <v>0</v>
      </c>
      <c r="Y98">
        <v>454.82279899999997</v>
      </c>
      <c r="Z98">
        <v>454.82741809999999</v>
      </c>
      <c r="AA98">
        <v>455.80928890000001</v>
      </c>
      <c r="AB98">
        <v>455.84260560000001</v>
      </c>
      <c r="AC98">
        <v>456.80937729999999</v>
      </c>
      <c r="AD98">
        <v>456.80937729999999</v>
      </c>
      <c r="AE98">
        <v>458.309258599999</v>
      </c>
      <c r="AF98">
        <v>458.32609819999999</v>
      </c>
      <c r="AG98">
        <v>458.32609819999999</v>
      </c>
      <c r="AH98">
        <v>460.47651319999898</v>
      </c>
      <c r="AI98" t="s">
        <v>58</v>
      </c>
      <c r="AJ98">
        <v>2.1491852999999899</v>
      </c>
      <c r="AK98" t="s">
        <v>49</v>
      </c>
      <c r="AO98" t="s">
        <v>50</v>
      </c>
      <c r="AP98">
        <v>1</v>
      </c>
      <c r="AQ98" t="s">
        <v>51</v>
      </c>
      <c r="AR98" t="s">
        <v>52</v>
      </c>
      <c r="AT98" t="s">
        <v>53</v>
      </c>
      <c r="AU98">
        <v>60.047942277100802</v>
      </c>
      <c r="AV98" t="s">
        <v>54</v>
      </c>
    </row>
    <row r="99" spans="1:48" x14ac:dyDescent="0.35">
      <c r="A99">
        <v>912745</v>
      </c>
      <c r="B99" t="s">
        <v>57</v>
      </c>
      <c r="C99">
        <v>1</v>
      </c>
      <c r="D99">
        <v>96</v>
      </c>
      <c r="E99">
        <v>96</v>
      </c>
      <c r="F99">
        <v>0</v>
      </c>
      <c r="G99" t="s">
        <v>58</v>
      </c>
      <c r="H99">
        <v>2.0744987000000399</v>
      </c>
      <c r="I99" t="s">
        <v>49</v>
      </c>
      <c r="J99">
        <v>0</v>
      </c>
      <c r="K99">
        <v>96</v>
      </c>
      <c r="L99">
        <v>96</v>
      </c>
      <c r="M99">
        <v>144</v>
      </c>
      <c r="N99">
        <v>460.492919999999</v>
      </c>
      <c r="W99">
        <v>0</v>
      </c>
      <c r="X99">
        <v>0</v>
      </c>
      <c r="Y99">
        <v>460.4893414</v>
      </c>
      <c r="Z99">
        <v>460.492919999999</v>
      </c>
      <c r="AA99">
        <v>461.47571869999899</v>
      </c>
      <c r="AB99">
        <v>461.49253819999899</v>
      </c>
      <c r="AC99">
        <v>462.47583419999899</v>
      </c>
      <c r="AD99">
        <v>462.47583419999899</v>
      </c>
      <c r="AE99">
        <v>463.97578729999998</v>
      </c>
      <c r="AF99">
        <v>463.97578729999998</v>
      </c>
      <c r="AG99">
        <v>463.97578729999998</v>
      </c>
      <c r="AH99">
        <v>466.06095339999899</v>
      </c>
      <c r="AI99" t="s">
        <v>58</v>
      </c>
      <c r="AJ99">
        <v>2.0744987000000399</v>
      </c>
      <c r="AK99" t="s">
        <v>49</v>
      </c>
      <c r="AO99" t="s">
        <v>50</v>
      </c>
      <c r="AP99">
        <v>1</v>
      </c>
      <c r="AQ99" t="s">
        <v>51</v>
      </c>
      <c r="AR99" t="s">
        <v>52</v>
      </c>
      <c r="AT99" t="s">
        <v>53</v>
      </c>
      <c r="AU99">
        <v>60.047942277100802</v>
      </c>
      <c r="AV99" t="s">
        <v>54</v>
      </c>
    </row>
    <row r="100" spans="1:48" x14ac:dyDescent="0.35">
      <c r="A100">
        <v>246676</v>
      </c>
      <c r="B100" t="s">
        <v>57</v>
      </c>
      <c r="C100">
        <v>2</v>
      </c>
      <c r="D100">
        <v>97</v>
      </c>
      <c r="E100">
        <v>97</v>
      </c>
      <c r="F100">
        <v>0</v>
      </c>
      <c r="G100" t="s">
        <v>58</v>
      </c>
      <c r="H100">
        <v>1.3654388999999501</v>
      </c>
      <c r="I100" t="s">
        <v>49</v>
      </c>
      <c r="J100">
        <v>0</v>
      </c>
      <c r="K100">
        <v>97</v>
      </c>
      <c r="L100">
        <v>97</v>
      </c>
      <c r="M100">
        <v>75</v>
      </c>
      <c r="N100">
        <v>466.08118489999998</v>
      </c>
      <c r="W100">
        <v>0</v>
      </c>
      <c r="X100">
        <v>0</v>
      </c>
      <c r="Y100">
        <v>466.07785710000002</v>
      </c>
      <c r="Z100">
        <v>466.08118489999998</v>
      </c>
      <c r="AA100">
        <v>467.07583259999899</v>
      </c>
      <c r="AB100">
        <v>467.09245259999898</v>
      </c>
      <c r="AC100">
        <v>468.07572850000003</v>
      </c>
      <c r="AD100">
        <v>468.07572850000003</v>
      </c>
      <c r="AE100">
        <v>469.57590729999998</v>
      </c>
      <c r="AF100">
        <v>469.57590729999998</v>
      </c>
      <c r="AG100">
        <v>469.57590729999998</v>
      </c>
      <c r="AH100">
        <v>470.94317410000002</v>
      </c>
      <c r="AI100" t="s">
        <v>58</v>
      </c>
      <c r="AJ100">
        <v>1.3654388999999501</v>
      </c>
      <c r="AK100" t="s">
        <v>49</v>
      </c>
      <c r="AO100" t="s">
        <v>50</v>
      </c>
      <c r="AP100">
        <v>1</v>
      </c>
      <c r="AQ100" t="s">
        <v>51</v>
      </c>
      <c r="AR100" t="s">
        <v>52</v>
      </c>
      <c r="AT100" t="s">
        <v>53</v>
      </c>
      <c r="AU100">
        <v>60.047942277100802</v>
      </c>
      <c r="AV100" t="s">
        <v>54</v>
      </c>
    </row>
    <row r="101" spans="1:48" x14ac:dyDescent="0.35">
      <c r="A101">
        <v>915538</v>
      </c>
      <c r="B101" t="s">
        <v>57</v>
      </c>
      <c r="C101">
        <v>0</v>
      </c>
      <c r="D101">
        <v>98</v>
      </c>
      <c r="E101">
        <v>98</v>
      </c>
      <c r="F101">
        <v>0</v>
      </c>
      <c r="G101" t="s">
        <v>58</v>
      </c>
      <c r="H101">
        <v>0.66962490000003005</v>
      </c>
      <c r="I101" t="s">
        <v>49</v>
      </c>
      <c r="J101">
        <v>0</v>
      </c>
      <c r="K101">
        <v>98</v>
      </c>
      <c r="L101">
        <v>98</v>
      </c>
      <c r="M101">
        <v>71</v>
      </c>
      <c r="N101">
        <v>470.96290269999997</v>
      </c>
      <c r="W101">
        <v>0</v>
      </c>
      <c r="X101">
        <v>0</v>
      </c>
      <c r="Y101">
        <v>470.95909060000002</v>
      </c>
      <c r="Z101">
        <v>470.96290269999997</v>
      </c>
      <c r="AA101">
        <v>471.94248229999999</v>
      </c>
      <c r="AB101">
        <v>471.97568159999997</v>
      </c>
      <c r="AC101">
        <v>472.94231589999998</v>
      </c>
      <c r="AD101">
        <v>472.94231589999998</v>
      </c>
      <c r="AE101">
        <v>474.44225779999903</v>
      </c>
      <c r="AF101">
        <v>474.458832999999</v>
      </c>
      <c r="AG101">
        <v>474.458832999999</v>
      </c>
      <c r="AH101">
        <v>475.14373740000002</v>
      </c>
      <c r="AI101" t="s">
        <v>58</v>
      </c>
      <c r="AJ101">
        <v>0.66962490000003005</v>
      </c>
      <c r="AK101" t="s">
        <v>49</v>
      </c>
      <c r="AO101" t="s">
        <v>50</v>
      </c>
      <c r="AP101">
        <v>1</v>
      </c>
      <c r="AQ101" t="s">
        <v>51</v>
      </c>
      <c r="AR101" t="s">
        <v>52</v>
      </c>
      <c r="AT101" t="s">
        <v>53</v>
      </c>
      <c r="AU101">
        <v>60.047942277100802</v>
      </c>
      <c r="AV101" t="s">
        <v>54</v>
      </c>
    </row>
    <row r="102" spans="1:48" x14ac:dyDescent="0.35">
      <c r="A102">
        <v>593286</v>
      </c>
      <c r="B102" t="s">
        <v>55</v>
      </c>
      <c r="C102">
        <v>5</v>
      </c>
      <c r="D102">
        <v>99</v>
      </c>
      <c r="E102">
        <v>99</v>
      </c>
      <c r="F102">
        <v>0</v>
      </c>
      <c r="G102" t="s">
        <v>58</v>
      </c>
      <c r="H102">
        <v>2.05339900000001</v>
      </c>
      <c r="I102" t="s">
        <v>49</v>
      </c>
      <c r="J102">
        <v>0</v>
      </c>
      <c r="K102">
        <v>99</v>
      </c>
      <c r="L102">
        <v>99</v>
      </c>
      <c r="M102">
        <v>41</v>
      </c>
      <c r="N102">
        <v>475.21495290000001</v>
      </c>
      <c r="W102">
        <v>1</v>
      </c>
      <c r="X102">
        <v>10</v>
      </c>
      <c r="Y102">
        <v>475.21207220000002</v>
      </c>
      <c r="Z102">
        <v>475.21495290000001</v>
      </c>
      <c r="AA102">
        <v>476.15890880000001</v>
      </c>
      <c r="AB102">
        <v>476.22564529999897</v>
      </c>
      <c r="AC102">
        <v>477.15882879999998</v>
      </c>
      <c r="AD102">
        <v>477.15882879999998</v>
      </c>
      <c r="AE102">
        <v>478.658966499999</v>
      </c>
      <c r="AF102">
        <v>478.658966499999</v>
      </c>
      <c r="AG102">
        <v>478.658966499999</v>
      </c>
      <c r="AH102">
        <v>480.7260326</v>
      </c>
      <c r="AI102" t="s">
        <v>58</v>
      </c>
      <c r="AJ102">
        <v>2.05339900000001</v>
      </c>
      <c r="AK102" t="s">
        <v>49</v>
      </c>
      <c r="AO102" t="s">
        <v>50</v>
      </c>
      <c r="AP102">
        <v>1</v>
      </c>
      <c r="AQ102" t="s">
        <v>51</v>
      </c>
      <c r="AR102" t="s">
        <v>52</v>
      </c>
      <c r="AT102" t="s">
        <v>53</v>
      </c>
      <c r="AU102">
        <v>60.047942277100802</v>
      </c>
      <c r="AV102" t="s">
        <v>54</v>
      </c>
    </row>
    <row r="103" spans="1:48" x14ac:dyDescent="0.35">
      <c r="A103">
        <v>179723</v>
      </c>
      <c r="B103" t="s">
        <v>57</v>
      </c>
      <c r="C103">
        <v>3</v>
      </c>
      <c r="D103">
        <v>100</v>
      </c>
      <c r="E103">
        <v>100</v>
      </c>
      <c r="F103">
        <v>0</v>
      </c>
      <c r="G103" t="s">
        <v>58</v>
      </c>
      <c r="H103">
        <v>2.69852600000001</v>
      </c>
      <c r="I103" t="s">
        <v>49</v>
      </c>
      <c r="J103">
        <v>0</v>
      </c>
      <c r="K103">
        <v>100</v>
      </c>
      <c r="L103">
        <v>100</v>
      </c>
      <c r="M103">
        <v>128</v>
      </c>
      <c r="N103">
        <v>480.74199900000002</v>
      </c>
      <c r="W103">
        <v>0</v>
      </c>
      <c r="X103">
        <v>0</v>
      </c>
      <c r="Y103">
        <v>480.7370616</v>
      </c>
      <c r="Z103">
        <v>480.74199900000002</v>
      </c>
      <c r="AA103">
        <v>481.72544209999899</v>
      </c>
      <c r="AB103">
        <v>481.74415210000001</v>
      </c>
      <c r="AC103">
        <v>482.72538719999898</v>
      </c>
      <c r="AD103">
        <v>482.72538719999898</v>
      </c>
      <c r="AE103">
        <v>484.22538229999998</v>
      </c>
      <c r="AF103">
        <v>484.22538229999998</v>
      </c>
      <c r="AG103">
        <v>484.22538229999998</v>
      </c>
      <c r="AH103">
        <v>486.92599990000002</v>
      </c>
      <c r="AI103" t="s">
        <v>58</v>
      </c>
      <c r="AJ103">
        <v>2.69852600000001</v>
      </c>
      <c r="AK103" t="s">
        <v>49</v>
      </c>
      <c r="AO103" t="s">
        <v>50</v>
      </c>
      <c r="AP103">
        <v>1</v>
      </c>
      <c r="AQ103" t="s">
        <v>51</v>
      </c>
      <c r="AR103" t="s">
        <v>52</v>
      </c>
      <c r="AT103" t="s">
        <v>53</v>
      </c>
      <c r="AU103">
        <v>60.047942277100802</v>
      </c>
      <c r="AV103" t="s">
        <v>54</v>
      </c>
    </row>
    <row r="104" spans="1:48" x14ac:dyDescent="0.35">
      <c r="A104">
        <v>394358</v>
      </c>
      <c r="B104" t="s">
        <v>55</v>
      </c>
      <c r="C104">
        <v>4</v>
      </c>
      <c r="D104">
        <v>101</v>
      </c>
      <c r="E104">
        <v>101</v>
      </c>
      <c r="F104">
        <v>0</v>
      </c>
      <c r="G104" t="s">
        <v>58</v>
      </c>
      <c r="H104">
        <v>0.93691420000004599</v>
      </c>
      <c r="I104" t="s">
        <v>49</v>
      </c>
      <c r="J104">
        <v>0</v>
      </c>
      <c r="K104">
        <v>101</v>
      </c>
      <c r="L104">
        <v>101</v>
      </c>
      <c r="M104">
        <v>122</v>
      </c>
      <c r="N104">
        <v>486.947189199999</v>
      </c>
      <c r="W104">
        <v>0</v>
      </c>
      <c r="X104">
        <v>0</v>
      </c>
      <c r="Y104">
        <v>486.94352429999998</v>
      </c>
      <c r="Z104">
        <v>486.947189199999</v>
      </c>
      <c r="AA104">
        <v>487.925381299999</v>
      </c>
      <c r="AB104">
        <v>487.95937199999997</v>
      </c>
      <c r="AC104">
        <v>488.92581769999998</v>
      </c>
      <c r="AD104">
        <v>488.92581769999998</v>
      </c>
      <c r="AE104">
        <v>490.42552269999902</v>
      </c>
      <c r="AF104">
        <v>490.42552269999902</v>
      </c>
      <c r="AG104">
        <v>490.42552269999902</v>
      </c>
      <c r="AH104">
        <v>491.37631789999898</v>
      </c>
      <c r="AI104" t="s">
        <v>58</v>
      </c>
      <c r="AJ104">
        <v>0.93691420000004599</v>
      </c>
      <c r="AK104" t="s">
        <v>49</v>
      </c>
      <c r="AO104" t="s">
        <v>50</v>
      </c>
      <c r="AP104">
        <v>1</v>
      </c>
      <c r="AQ104" t="s">
        <v>51</v>
      </c>
      <c r="AR104" t="s">
        <v>52</v>
      </c>
      <c r="AT104" t="s">
        <v>53</v>
      </c>
      <c r="AU104">
        <v>60.047942277100802</v>
      </c>
      <c r="AV104" t="s">
        <v>54</v>
      </c>
    </row>
    <row r="105" spans="1:48" x14ac:dyDescent="0.35">
      <c r="A105">
        <v>571719</v>
      </c>
      <c r="B105" t="s">
        <v>55</v>
      </c>
      <c r="C105">
        <v>5</v>
      </c>
      <c r="D105">
        <v>102</v>
      </c>
      <c r="E105">
        <v>102</v>
      </c>
      <c r="F105">
        <v>0</v>
      </c>
      <c r="G105" t="s">
        <v>56</v>
      </c>
      <c r="H105">
        <v>0.94945250000000603</v>
      </c>
      <c r="I105" t="s">
        <v>49</v>
      </c>
      <c r="J105">
        <v>0</v>
      </c>
      <c r="K105">
        <v>102</v>
      </c>
      <c r="L105">
        <v>102</v>
      </c>
      <c r="M105">
        <v>26</v>
      </c>
      <c r="N105">
        <v>491.43186450000002</v>
      </c>
      <c r="W105">
        <v>1</v>
      </c>
      <c r="X105">
        <v>10</v>
      </c>
      <c r="Y105">
        <v>491.42851469999999</v>
      </c>
      <c r="Z105">
        <v>491.43186450000002</v>
      </c>
      <c r="AA105">
        <v>492.39238629999898</v>
      </c>
      <c r="AB105">
        <v>492.42547980000001</v>
      </c>
      <c r="AC105">
        <v>493.39184959999898</v>
      </c>
      <c r="AD105">
        <v>493.39184959999898</v>
      </c>
      <c r="AE105">
        <v>494.89185279999998</v>
      </c>
      <c r="AF105">
        <v>494.89185279999998</v>
      </c>
      <c r="AG105">
        <v>494.89185279999998</v>
      </c>
      <c r="AH105">
        <v>495.8425977</v>
      </c>
      <c r="AI105" t="s">
        <v>56</v>
      </c>
      <c r="AJ105">
        <v>0.94945250000000603</v>
      </c>
      <c r="AK105" t="s">
        <v>49</v>
      </c>
      <c r="AO105" t="s">
        <v>50</v>
      </c>
      <c r="AP105">
        <v>1</v>
      </c>
      <c r="AQ105" t="s">
        <v>51</v>
      </c>
      <c r="AR105" t="s">
        <v>52</v>
      </c>
      <c r="AT105" t="s">
        <v>53</v>
      </c>
      <c r="AU105">
        <v>60.047942277100802</v>
      </c>
      <c r="AV105" t="s">
        <v>54</v>
      </c>
    </row>
    <row r="106" spans="1:48" x14ac:dyDescent="0.35">
      <c r="A106">
        <v>561304</v>
      </c>
      <c r="B106" t="s">
        <v>57</v>
      </c>
      <c r="C106">
        <v>7</v>
      </c>
      <c r="D106">
        <v>103</v>
      </c>
      <c r="E106">
        <v>103</v>
      </c>
      <c r="F106">
        <v>0</v>
      </c>
      <c r="G106" t="s">
        <v>58</v>
      </c>
      <c r="H106">
        <v>0.66534070000000101</v>
      </c>
      <c r="I106" t="s">
        <v>49</v>
      </c>
      <c r="J106">
        <v>0</v>
      </c>
      <c r="K106">
        <v>103</v>
      </c>
      <c r="L106">
        <v>103</v>
      </c>
      <c r="M106">
        <v>2</v>
      </c>
      <c r="N106">
        <v>495.85830010000001</v>
      </c>
      <c r="W106">
        <v>0</v>
      </c>
      <c r="X106">
        <v>0</v>
      </c>
      <c r="Y106">
        <v>495.85276389999899</v>
      </c>
      <c r="Z106">
        <v>495.85830010000001</v>
      </c>
      <c r="AA106">
        <v>496.84194829999899</v>
      </c>
      <c r="AB106">
        <v>496.85840189999902</v>
      </c>
      <c r="AC106">
        <v>497.84207909999998</v>
      </c>
      <c r="AD106">
        <v>497.84207909999998</v>
      </c>
      <c r="AE106">
        <v>499.3420524</v>
      </c>
      <c r="AF106">
        <v>499.3420524</v>
      </c>
      <c r="AG106">
        <v>499.3420524</v>
      </c>
      <c r="AH106">
        <v>500.01382410000002</v>
      </c>
      <c r="AI106" t="s">
        <v>58</v>
      </c>
      <c r="AJ106">
        <v>0.66534070000000101</v>
      </c>
      <c r="AK106" t="s">
        <v>49</v>
      </c>
      <c r="AO106" t="s">
        <v>50</v>
      </c>
      <c r="AP106">
        <v>1</v>
      </c>
      <c r="AQ106" t="s">
        <v>51</v>
      </c>
      <c r="AR106" t="s">
        <v>52</v>
      </c>
      <c r="AT106" t="s">
        <v>53</v>
      </c>
      <c r="AU106">
        <v>60.047942277100802</v>
      </c>
      <c r="AV106" t="s">
        <v>54</v>
      </c>
    </row>
    <row r="107" spans="1:48" x14ac:dyDescent="0.35">
      <c r="A107">
        <v>603165</v>
      </c>
      <c r="B107" t="s">
        <v>55</v>
      </c>
      <c r="C107">
        <v>6</v>
      </c>
      <c r="D107">
        <v>104</v>
      </c>
      <c r="E107">
        <v>104</v>
      </c>
      <c r="F107">
        <v>0</v>
      </c>
      <c r="G107" t="s">
        <v>56</v>
      </c>
      <c r="H107">
        <v>0.618005000000039</v>
      </c>
      <c r="I107" t="s">
        <v>49</v>
      </c>
      <c r="J107">
        <v>0</v>
      </c>
      <c r="K107">
        <v>104</v>
      </c>
      <c r="L107">
        <v>104</v>
      </c>
      <c r="M107">
        <v>107</v>
      </c>
      <c r="N107">
        <v>500.05723759999898</v>
      </c>
      <c r="W107">
        <v>0</v>
      </c>
      <c r="X107">
        <v>0</v>
      </c>
      <c r="Y107">
        <v>500.05315130000002</v>
      </c>
      <c r="Z107">
        <v>500.05723759999898</v>
      </c>
      <c r="AA107">
        <v>501.02500529999998</v>
      </c>
      <c r="AB107">
        <v>501.058328799999</v>
      </c>
      <c r="AC107">
        <v>502.02521180000002</v>
      </c>
      <c r="AD107">
        <v>502.02521180000002</v>
      </c>
      <c r="AE107">
        <v>503.52584969999998</v>
      </c>
      <c r="AF107">
        <v>503.52584969999998</v>
      </c>
      <c r="AG107">
        <v>503.52584969999998</v>
      </c>
      <c r="AH107">
        <v>504.15975239999898</v>
      </c>
      <c r="AI107" t="s">
        <v>56</v>
      </c>
      <c r="AJ107">
        <v>0.618005000000039</v>
      </c>
      <c r="AK107" t="s">
        <v>49</v>
      </c>
      <c r="AO107" t="s">
        <v>50</v>
      </c>
      <c r="AP107">
        <v>1</v>
      </c>
      <c r="AQ107" t="s">
        <v>51</v>
      </c>
      <c r="AR107" t="s">
        <v>52</v>
      </c>
      <c r="AT107" t="s">
        <v>53</v>
      </c>
      <c r="AU107">
        <v>60.047942277100802</v>
      </c>
      <c r="AV107" t="s">
        <v>54</v>
      </c>
    </row>
    <row r="108" spans="1:48" x14ac:dyDescent="0.35">
      <c r="A108">
        <v>662798</v>
      </c>
      <c r="B108" t="s">
        <v>57</v>
      </c>
      <c r="C108">
        <v>0</v>
      </c>
      <c r="D108">
        <v>105</v>
      </c>
      <c r="E108">
        <v>105</v>
      </c>
      <c r="F108">
        <v>0</v>
      </c>
      <c r="G108" t="s">
        <v>58</v>
      </c>
      <c r="H108">
        <v>0.68335029999991503</v>
      </c>
      <c r="I108" t="s">
        <v>49</v>
      </c>
      <c r="J108">
        <v>0</v>
      </c>
      <c r="K108">
        <v>105</v>
      </c>
      <c r="L108">
        <v>105</v>
      </c>
      <c r="M108">
        <v>6</v>
      </c>
      <c r="N108">
        <v>504.23653539999998</v>
      </c>
      <c r="W108">
        <v>1</v>
      </c>
      <c r="X108">
        <v>10</v>
      </c>
      <c r="Y108">
        <v>504.23189599999898</v>
      </c>
      <c r="Z108">
        <v>504.23653539999998</v>
      </c>
      <c r="AA108">
        <v>505.17553719999898</v>
      </c>
      <c r="AB108">
        <v>505.242099</v>
      </c>
      <c r="AC108">
        <v>506.17516119999999</v>
      </c>
      <c r="AD108">
        <v>506.1582358</v>
      </c>
      <c r="AE108">
        <v>507.65872099999899</v>
      </c>
      <c r="AF108">
        <v>507.65872099999899</v>
      </c>
      <c r="AG108">
        <v>507.65872099999899</v>
      </c>
      <c r="AH108">
        <v>508.34339210000002</v>
      </c>
      <c r="AI108" t="s">
        <v>58</v>
      </c>
      <c r="AJ108">
        <v>0.68335029999991503</v>
      </c>
      <c r="AK108" t="s">
        <v>49</v>
      </c>
      <c r="AO108" t="s">
        <v>50</v>
      </c>
      <c r="AP108">
        <v>1</v>
      </c>
      <c r="AQ108" t="s">
        <v>51</v>
      </c>
      <c r="AR108" t="s">
        <v>52</v>
      </c>
      <c r="AT108" t="s">
        <v>53</v>
      </c>
      <c r="AU108">
        <v>60.047942277100802</v>
      </c>
      <c r="AV108" t="s">
        <v>54</v>
      </c>
    </row>
    <row r="109" spans="1:48" x14ac:dyDescent="0.35">
      <c r="A109">
        <v>801117</v>
      </c>
      <c r="B109" t="s">
        <v>55</v>
      </c>
      <c r="C109">
        <v>0</v>
      </c>
      <c r="D109">
        <v>106</v>
      </c>
      <c r="E109">
        <v>106</v>
      </c>
      <c r="F109">
        <v>0</v>
      </c>
      <c r="G109" t="s">
        <v>56</v>
      </c>
      <c r="H109">
        <v>0.87278629999991597</v>
      </c>
      <c r="I109" t="s">
        <v>49</v>
      </c>
      <c r="J109">
        <v>0</v>
      </c>
      <c r="K109">
        <v>106</v>
      </c>
      <c r="L109">
        <v>106</v>
      </c>
      <c r="M109">
        <v>100</v>
      </c>
      <c r="N109">
        <v>508.39859629999899</v>
      </c>
      <c r="W109">
        <v>1</v>
      </c>
      <c r="X109">
        <v>10</v>
      </c>
      <c r="Y109">
        <v>508.39499810000001</v>
      </c>
      <c r="Z109">
        <v>508.39859629999899</v>
      </c>
      <c r="AA109">
        <v>509.35831019999898</v>
      </c>
      <c r="AB109">
        <v>509.3915394</v>
      </c>
      <c r="AC109">
        <v>510.359253499999</v>
      </c>
      <c r="AD109">
        <v>510.359253499999</v>
      </c>
      <c r="AE109">
        <v>511.87479519999903</v>
      </c>
      <c r="AF109">
        <v>511.85823049999902</v>
      </c>
      <c r="AG109">
        <v>511.85823049999902</v>
      </c>
      <c r="AH109">
        <v>512.74257820000003</v>
      </c>
      <c r="AI109" t="s">
        <v>56</v>
      </c>
      <c r="AJ109">
        <v>0.87278629999991597</v>
      </c>
      <c r="AK109" t="s">
        <v>49</v>
      </c>
      <c r="AO109" t="s">
        <v>50</v>
      </c>
      <c r="AP109">
        <v>1</v>
      </c>
      <c r="AQ109" t="s">
        <v>51</v>
      </c>
      <c r="AR109" t="s">
        <v>52</v>
      </c>
      <c r="AT109" t="s">
        <v>53</v>
      </c>
      <c r="AU109">
        <v>60.047942277100802</v>
      </c>
      <c r="AV109" t="s">
        <v>54</v>
      </c>
    </row>
    <row r="110" spans="1:48" x14ac:dyDescent="0.35">
      <c r="A110">
        <v>685409</v>
      </c>
      <c r="B110" t="s">
        <v>55</v>
      </c>
      <c r="C110">
        <v>5</v>
      </c>
      <c r="D110">
        <v>107</v>
      </c>
      <c r="E110">
        <v>107</v>
      </c>
      <c r="F110">
        <v>0</v>
      </c>
      <c r="G110" t="s">
        <v>58</v>
      </c>
      <c r="H110">
        <v>1.2608941999999299</v>
      </c>
      <c r="I110" t="s">
        <v>49</v>
      </c>
      <c r="J110">
        <v>0</v>
      </c>
      <c r="K110">
        <v>107</v>
      </c>
      <c r="L110">
        <v>107</v>
      </c>
      <c r="M110">
        <v>39</v>
      </c>
      <c r="N110">
        <v>512.81155199999898</v>
      </c>
      <c r="W110">
        <v>1</v>
      </c>
      <c r="X110">
        <v>10</v>
      </c>
      <c r="Y110">
        <v>512.80814989999999</v>
      </c>
      <c r="Z110">
        <v>512.81155199999898</v>
      </c>
      <c r="AA110">
        <v>513.74199799999997</v>
      </c>
      <c r="AB110">
        <v>513.82525199999998</v>
      </c>
      <c r="AC110">
        <v>514.74156760000005</v>
      </c>
      <c r="AD110">
        <v>514.75807069999996</v>
      </c>
      <c r="AE110">
        <v>516.25885309999899</v>
      </c>
      <c r="AF110">
        <v>516.25885309999899</v>
      </c>
      <c r="AG110">
        <v>516.25885309999899</v>
      </c>
      <c r="AH110">
        <v>517.5266858</v>
      </c>
      <c r="AI110" t="s">
        <v>58</v>
      </c>
      <c r="AJ110">
        <v>1.2608941999999299</v>
      </c>
      <c r="AK110" t="s">
        <v>49</v>
      </c>
      <c r="AO110" t="s">
        <v>50</v>
      </c>
      <c r="AP110">
        <v>1</v>
      </c>
      <c r="AQ110" t="s">
        <v>51</v>
      </c>
      <c r="AR110" t="s">
        <v>52</v>
      </c>
      <c r="AT110" t="s">
        <v>53</v>
      </c>
      <c r="AU110">
        <v>60.047942277100802</v>
      </c>
      <c r="AV110" t="s">
        <v>54</v>
      </c>
    </row>
    <row r="111" spans="1:48" x14ac:dyDescent="0.35">
      <c r="A111">
        <v>192034</v>
      </c>
      <c r="B111" t="s">
        <v>57</v>
      </c>
      <c r="C111">
        <v>8</v>
      </c>
      <c r="D111">
        <v>108</v>
      </c>
      <c r="E111">
        <v>108</v>
      </c>
      <c r="F111">
        <v>0</v>
      </c>
      <c r="G111" t="s">
        <v>58</v>
      </c>
      <c r="H111">
        <v>0.73101919999999099</v>
      </c>
      <c r="I111" t="s">
        <v>49</v>
      </c>
      <c r="J111">
        <v>0</v>
      </c>
      <c r="K111">
        <v>108</v>
      </c>
      <c r="L111">
        <v>108</v>
      </c>
      <c r="M111">
        <v>85</v>
      </c>
      <c r="N111">
        <v>517.54242039999997</v>
      </c>
      <c r="W111">
        <v>0</v>
      </c>
      <c r="X111">
        <v>0</v>
      </c>
      <c r="Y111">
        <v>517.53901459999997</v>
      </c>
      <c r="Z111">
        <v>517.54242039999997</v>
      </c>
      <c r="AA111">
        <v>518.54172489999996</v>
      </c>
      <c r="AB111">
        <v>518.55827269999997</v>
      </c>
      <c r="AC111">
        <v>519.54214979999995</v>
      </c>
      <c r="AD111">
        <v>519.54214979999995</v>
      </c>
      <c r="AE111">
        <v>521.04145259999996</v>
      </c>
      <c r="AF111">
        <v>521.04145259999996</v>
      </c>
      <c r="AG111">
        <v>521.04145259999996</v>
      </c>
      <c r="AH111">
        <v>521.77629869999998</v>
      </c>
      <c r="AI111" t="s">
        <v>58</v>
      </c>
      <c r="AJ111">
        <v>0.73101919999999099</v>
      </c>
      <c r="AK111" t="s">
        <v>49</v>
      </c>
      <c r="AO111" t="s">
        <v>50</v>
      </c>
      <c r="AP111">
        <v>1</v>
      </c>
      <c r="AQ111" t="s">
        <v>51</v>
      </c>
      <c r="AR111" t="s">
        <v>52</v>
      </c>
      <c r="AT111" t="s">
        <v>53</v>
      </c>
      <c r="AU111">
        <v>60.047942277100802</v>
      </c>
      <c r="AV111" t="s">
        <v>54</v>
      </c>
    </row>
    <row r="112" spans="1:48" x14ac:dyDescent="0.35">
      <c r="A112">
        <v>631965</v>
      </c>
      <c r="B112" t="s">
        <v>57</v>
      </c>
      <c r="C112">
        <v>2</v>
      </c>
      <c r="D112">
        <v>109</v>
      </c>
      <c r="E112">
        <v>109</v>
      </c>
      <c r="F112">
        <v>0</v>
      </c>
      <c r="G112" t="s">
        <v>58</v>
      </c>
      <c r="H112">
        <v>0.70141999999998395</v>
      </c>
      <c r="I112" t="s">
        <v>49</v>
      </c>
      <c r="J112">
        <v>0</v>
      </c>
      <c r="K112">
        <v>109</v>
      </c>
      <c r="L112">
        <v>109</v>
      </c>
      <c r="M112">
        <v>1</v>
      </c>
      <c r="N112">
        <v>521.83915969999998</v>
      </c>
      <c r="W112">
        <v>1</v>
      </c>
      <c r="X112">
        <v>10</v>
      </c>
      <c r="Y112">
        <v>521.83534639999903</v>
      </c>
      <c r="Z112">
        <v>521.83915969999998</v>
      </c>
      <c r="AA112">
        <v>522.79125639999995</v>
      </c>
      <c r="AB112">
        <v>522.84173259999898</v>
      </c>
      <c r="AC112">
        <v>523.79145079999898</v>
      </c>
      <c r="AD112">
        <v>523.79145079999898</v>
      </c>
      <c r="AE112">
        <v>525.29142879999995</v>
      </c>
      <c r="AF112">
        <v>525.27491080000004</v>
      </c>
      <c r="AG112">
        <v>525.27491080000004</v>
      </c>
      <c r="AH112">
        <v>525.97751270000003</v>
      </c>
      <c r="AI112" t="s">
        <v>58</v>
      </c>
      <c r="AJ112">
        <v>0.70141999999998395</v>
      </c>
      <c r="AK112" t="s">
        <v>49</v>
      </c>
      <c r="AO112" t="s">
        <v>50</v>
      </c>
      <c r="AP112">
        <v>1</v>
      </c>
      <c r="AQ112" t="s">
        <v>51</v>
      </c>
      <c r="AR112" t="s">
        <v>52</v>
      </c>
      <c r="AT112" t="s">
        <v>53</v>
      </c>
      <c r="AU112">
        <v>60.047942277100802</v>
      </c>
      <c r="AV112" t="s">
        <v>54</v>
      </c>
    </row>
    <row r="113" spans="1:48" x14ac:dyDescent="0.35">
      <c r="A113">
        <v>897517</v>
      </c>
      <c r="B113" t="s">
        <v>57</v>
      </c>
      <c r="C113">
        <v>4</v>
      </c>
      <c r="D113">
        <v>110</v>
      </c>
      <c r="E113">
        <v>110</v>
      </c>
      <c r="F113">
        <v>0</v>
      </c>
      <c r="G113" t="s">
        <v>58</v>
      </c>
      <c r="H113">
        <v>0.67634450000002699</v>
      </c>
      <c r="I113" t="s">
        <v>49</v>
      </c>
      <c r="J113">
        <v>0</v>
      </c>
      <c r="K113">
        <v>110</v>
      </c>
      <c r="L113">
        <v>110</v>
      </c>
      <c r="M113">
        <v>148</v>
      </c>
      <c r="N113">
        <v>525.99488580000002</v>
      </c>
      <c r="W113">
        <v>0</v>
      </c>
      <c r="X113">
        <v>0</v>
      </c>
      <c r="Y113">
        <v>525.99132009999903</v>
      </c>
      <c r="Z113">
        <v>525.99488580000002</v>
      </c>
      <c r="AA113">
        <v>526.99198539999998</v>
      </c>
      <c r="AB113">
        <v>527.00866399999995</v>
      </c>
      <c r="AC113">
        <v>527.99197679999997</v>
      </c>
      <c r="AD113">
        <v>527.99197679999997</v>
      </c>
      <c r="AE113">
        <v>529.49182959999996</v>
      </c>
      <c r="AF113">
        <v>529.49182959999996</v>
      </c>
      <c r="AG113">
        <v>529.49182959999996</v>
      </c>
      <c r="AH113">
        <v>530.17617369999903</v>
      </c>
      <c r="AI113" t="s">
        <v>58</v>
      </c>
      <c r="AJ113">
        <v>0.67634450000002699</v>
      </c>
      <c r="AK113" t="s">
        <v>49</v>
      </c>
      <c r="AO113" t="s">
        <v>50</v>
      </c>
      <c r="AP113">
        <v>1</v>
      </c>
      <c r="AQ113" t="s">
        <v>51</v>
      </c>
      <c r="AR113" t="s">
        <v>52</v>
      </c>
      <c r="AT113" t="s">
        <v>53</v>
      </c>
      <c r="AU113">
        <v>60.047942277100802</v>
      </c>
      <c r="AV113" t="s">
        <v>54</v>
      </c>
    </row>
    <row r="114" spans="1:48" x14ac:dyDescent="0.35">
      <c r="A114">
        <v>110179</v>
      </c>
      <c r="B114" t="s">
        <v>55</v>
      </c>
      <c r="C114">
        <v>1</v>
      </c>
      <c r="D114">
        <v>111</v>
      </c>
      <c r="E114">
        <v>111</v>
      </c>
      <c r="F114">
        <v>0</v>
      </c>
      <c r="G114" t="s">
        <v>56</v>
      </c>
      <c r="H114">
        <v>0.83916339999996103</v>
      </c>
      <c r="I114" t="s">
        <v>49</v>
      </c>
      <c r="J114">
        <v>0</v>
      </c>
      <c r="K114">
        <v>111</v>
      </c>
      <c r="L114">
        <v>111</v>
      </c>
      <c r="M114">
        <v>96</v>
      </c>
      <c r="N114">
        <v>530.24064479999902</v>
      </c>
      <c r="W114">
        <v>1</v>
      </c>
      <c r="X114">
        <v>10</v>
      </c>
      <c r="Y114">
        <v>530.23675879999996</v>
      </c>
      <c r="Z114">
        <v>530.24064479999902</v>
      </c>
      <c r="AA114">
        <v>531.19200669999998</v>
      </c>
      <c r="AB114">
        <v>531.24155670000005</v>
      </c>
      <c r="AC114">
        <v>532.19128039999998</v>
      </c>
      <c r="AD114">
        <v>532.19128039999998</v>
      </c>
      <c r="AE114">
        <v>533.69156810000004</v>
      </c>
      <c r="AF114">
        <v>533.69156810000004</v>
      </c>
      <c r="AG114">
        <v>533.69156810000004</v>
      </c>
      <c r="AH114">
        <v>534.54288139999903</v>
      </c>
      <c r="AI114" t="s">
        <v>56</v>
      </c>
      <c r="AJ114">
        <v>0.83916339999996103</v>
      </c>
      <c r="AK114" t="s">
        <v>49</v>
      </c>
      <c r="AO114" t="s">
        <v>50</v>
      </c>
      <c r="AP114">
        <v>1</v>
      </c>
      <c r="AQ114" t="s">
        <v>51</v>
      </c>
      <c r="AR114" t="s">
        <v>52</v>
      </c>
      <c r="AT114" t="s">
        <v>53</v>
      </c>
      <c r="AU114">
        <v>60.047942277100802</v>
      </c>
      <c r="AV114" t="s">
        <v>54</v>
      </c>
    </row>
    <row r="115" spans="1:48" x14ac:dyDescent="0.35">
      <c r="A115">
        <v>789812</v>
      </c>
      <c r="B115" t="s">
        <v>57</v>
      </c>
      <c r="C115">
        <v>4</v>
      </c>
      <c r="D115">
        <v>112</v>
      </c>
      <c r="E115">
        <v>112</v>
      </c>
      <c r="F115">
        <v>0</v>
      </c>
      <c r="G115" t="s">
        <v>58</v>
      </c>
      <c r="H115">
        <v>0.58483269999999199</v>
      </c>
      <c r="I115" t="s">
        <v>49</v>
      </c>
      <c r="J115">
        <v>0</v>
      </c>
      <c r="K115">
        <v>112</v>
      </c>
      <c r="L115">
        <v>112</v>
      </c>
      <c r="M115">
        <v>22</v>
      </c>
      <c r="N115">
        <v>534.56006520000005</v>
      </c>
      <c r="W115">
        <v>0</v>
      </c>
      <c r="X115">
        <v>0</v>
      </c>
      <c r="Y115">
        <v>534.55663839999897</v>
      </c>
      <c r="Z115">
        <v>534.56006520000005</v>
      </c>
      <c r="AA115">
        <v>535.55857100000003</v>
      </c>
      <c r="AB115">
        <v>535.57494670000005</v>
      </c>
      <c r="AC115">
        <v>536.55818399999998</v>
      </c>
      <c r="AD115">
        <v>536.55818399999998</v>
      </c>
      <c r="AE115">
        <v>538.05834589999995</v>
      </c>
      <c r="AF115">
        <v>538.05834589999995</v>
      </c>
      <c r="AG115">
        <v>538.05834589999995</v>
      </c>
      <c r="AH115">
        <v>538.65840779999996</v>
      </c>
      <c r="AI115" t="s">
        <v>58</v>
      </c>
      <c r="AJ115">
        <v>0.58483269999999199</v>
      </c>
      <c r="AK115" t="s">
        <v>49</v>
      </c>
      <c r="AO115" t="s">
        <v>50</v>
      </c>
      <c r="AP115">
        <v>1</v>
      </c>
      <c r="AQ115" t="s">
        <v>51</v>
      </c>
      <c r="AR115" t="s">
        <v>52</v>
      </c>
      <c r="AT115" t="s">
        <v>53</v>
      </c>
      <c r="AU115">
        <v>60.047942277100802</v>
      </c>
      <c r="AV115" t="s">
        <v>54</v>
      </c>
    </row>
    <row r="116" spans="1:48" x14ac:dyDescent="0.35">
      <c r="A116">
        <v>714522</v>
      </c>
      <c r="B116" t="s">
        <v>55</v>
      </c>
      <c r="C116">
        <v>0</v>
      </c>
      <c r="D116">
        <v>113</v>
      </c>
      <c r="E116">
        <v>113</v>
      </c>
      <c r="F116">
        <v>0</v>
      </c>
      <c r="G116" t="s">
        <v>58</v>
      </c>
      <c r="H116">
        <v>0.59320900000000099</v>
      </c>
      <c r="I116" t="s">
        <v>49</v>
      </c>
      <c r="J116">
        <v>0</v>
      </c>
      <c r="K116">
        <v>113</v>
      </c>
      <c r="L116">
        <v>113</v>
      </c>
      <c r="M116">
        <v>88</v>
      </c>
      <c r="N116">
        <v>538.67440869999996</v>
      </c>
      <c r="W116">
        <v>0</v>
      </c>
      <c r="X116">
        <v>0</v>
      </c>
      <c r="Y116">
        <v>538.67145619999997</v>
      </c>
      <c r="Z116">
        <v>538.67440869999996</v>
      </c>
      <c r="AA116">
        <v>539.65821549999998</v>
      </c>
      <c r="AB116">
        <v>539.67494079999994</v>
      </c>
      <c r="AC116">
        <v>540.65849759999901</v>
      </c>
      <c r="AD116">
        <v>540.65849759999901</v>
      </c>
      <c r="AE116">
        <v>542.15779180000004</v>
      </c>
      <c r="AF116">
        <v>542.15779180000004</v>
      </c>
      <c r="AG116">
        <v>542.15779180000004</v>
      </c>
      <c r="AH116">
        <v>542.75912989999995</v>
      </c>
      <c r="AI116" t="s">
        <v>58</v>
      </c>
      <c r="AJ116">
        <v>0.59320900000000099</v>
      </c>
      <c r="AK116" t="s">
        <v>49</v>
      </c>
      <c r="AO116" t="s">
        <v>50</v>
      </c>
      <c r="AP116">
        <v>1</v>
      </c>
      <c r="AQ116" t="s">
        <v>51</v>
      </c>
      <c r="AR116" t="s">
        <v>52</v>
      </c>
      <c r="AT116" t="s">
        <v>53</v>
      </c>
      <c r="AU116">
        <v>60.047942277100802</v>
      </c>
      <c r="AV116" t="s">
        <v>54</v>
      </c>
    </row>
    <row r="117" spans="1:48" x14ac:dyDescent="0.35">
      <c r="A117">
        <v>306318</v>
      </c>
      <c r="B117" t="s">
        <v>57</v>
      </c>
      <c r="C117">
        <v>4</v>
      </c>
      <c r="D117">
        <v>114</v>
      </c>
      <c r="E117">
        <v>114</v>
      </c>
      <c r="F117">
        <v>0</v>
      </c>
      <c r="G117" t="s">
        <v>58</v>
      </c>
      <c r="H117">
        <v>1.59507200000007</v>
      </c>
      <c r="I117" t="s">
        <v>49</v>
      </c>
      <c r="J117">
        <v>0</v>
      </c>
      <c r="K117">
        <v>114</v>
      </c>
      <c r="L117">
        <v>114</v>
      </c>
      <c r="M117">
        <v>105</v>
      </c>
      <c r="N117">
        <v>542.81914749999999</v>
      </c>
      <c r="W117">
        <v>1</v>
      </c>
      <c r="X117">
        <v>10</v>
      </c>
      <c r="Y117">
        <v>542.81519759999901</v>
      </c>
      <c r="Z117">
        <v>542.81914749999999</v>
      </c>
      <c r="AA117">
        <v>543.75765899999897</v>
      </c>
      <c r="AB117">
        <v>543.82439780000004</v>
      </c>
      <c r="AC117">
        <v>544.75787590000004</v>
      </c>
      <c r="AD117">
        <v>544.75787590000004</v>
      </c>
      <c r="AE117">
        <v>546.25788469999998</v>
      </c>
      <c r="AF117">
        <v>546.27434479999897</v>
      </c>
      <c r="AG117">
        <v>546.27434479999897</v>
      </c>
      <c r="AH117">
        <v>547.87528180000004</v>
      </c>
      <c r="AI117" t="s">
        <v>58</v>
      </c>
      <c r="AJ117">
        <v>1.59507200000007</v>
      </c>
      <c r="AK117" t="s">
        <v>49</v>
      </c>
      <c r="AO117" t="s">
        <v>50</v>
      </c>
      <c r="AP117">
        <v>1</v>
      </c>
      <c r="AQ117" t="s">
        <v>51</v>
      </c>
      <c r="AR117" t="s">
        <v>52</v>
      </c>
      <c r="AT117" t="s">
        <v>53</v>
      </c>
      <c r="AU117">
        <v>60.047942277100802</v>
      </c>
      <c r="AV117" t="s">
        <v>54</v>
      </c>
    </row>
    <row r="118" spans="1:48" x14ac:dyDescent="0.35">
      <c r="A118">
        <v>299855</v>
      </c>
      <c r="B118" t="s">
        <v>55</v>
      </c>
      <c r="C118">
        <v>5</v>
      </c>
      <c r="D118">
        <v>115</v>
      </c>
      <c r="E118">
        <v>115</v>
      </c>
      <c r="F118">
        <v>0</v>
      </c>
      <c r="G118" t="s">
        <v>58</v>
      </c>
      <c r="H118">
        <v>2.1805295000000302</v>
      </c>
      <c r="I118" t="s">
        <v>49</v>
      </c>
      <c r="J118">
        <v>0</v>
      </c>
      <c r="K118">
        <v>115</v>
      </c>
      <c r="L118">
        <v>115</v>
      </c>
      <c r="M118">
        <v>14</v>
      </c>
      <c r="N118">
        <v>547.89305709999996</v>
      </c>
      <c r="W118">
        <v>0</v>
      </c>
      <c r="X118">
        <v>0</v>
      </c>
      <c r="Y118">
        <v>547.88893659999997</v>
      </c>
      <c r="Z118">
        <v>547.89305709999996</v>
      </c>
      <c r="AA118">
        <v>548.87427060000005</v>
      </c>
      <c r="AB118">
        <v>548.90782119999994</v>
      </c>
      <c r="AC118">
        <v>549.87434450000001</v>
      </c>
      <c r="AD118">
        <v>549.87434450000001</v>
      </c>
      <c r="AE118">
        <v>551.37456929999996</v>
      </c>
      <c r="AF118">
        <v>551.39162669999996</v>
      </c>
      <c r="AG118">
        <v>551.39162669999996</v>
      </c>
      <c r="AH118">
        <v>553.57484309999995</v>
      </c>
      <c r="AI118" t="s">
        <v>58</v>
      </c>
      <c r="AJ118">
        <v>2.1805295000000302</v>
      </c>
      <c r="AK118" t="s">
        <v>49</v>
      </c>
      <c r="AO118" t="s">
        <v>50</v>
      </c>
      <c r="AP118">
        <v>1</v>
      </c>
      <c r="AQ118" t="s">
        <v>51</v>
      </c>
      <c r="AR118" t="s">
        <v>52</v>
      </c>
      <c r="AT118" t="s">
        <v>53</v>
      </c>
      <c r="AU118">
        <v>60.047942277100802</v>
      </c>
      <c r="AV118" t="s">
        <v>54</v>
      </c>
    </row>
    <row r="119" spans="1:48" x14ac:dyDescent="0.35">
      <c r="A119">
        <v>889855</v>
      </c>
      <c r="B119" t="s">
        <v>57</v>
      </c>
      <c r="C119">
        <v>0</v>
      </c>
      <c r="D119">
        <v>116</v>
      </c>
      <c r="E119">
        <v>116</v>
      </c>
      <c r="F119">
        <v>0</v>
      </c>
      <c r="G119" t="s">
        <v>58</v>
      </c>
      <c r="H119">
        <v>3.3422567000000001</v>
      </c>
      <c r="I119" t="s">
        <v>49</v>
      </c>
      <c r="J119">
        <v>0</v>
      </c>
      <c r="K119">
        <v>116</v>
      </c>
      <c r="L119">
        <v>116</v>
      </c>
      <c r="M119">
        <v>110</v>
      </c>
      <c r="N119">
        <v>553.59117160000005</v>
      </c>
      <c r="W119">
        <v>0</v>
      </c>
      <c r="X119">
        <v>0</v>
      </c>
      <c r="Y119">
        <v>553.58787540000003</v>
      </c>
      <c r="Z119">
        <v>553.59117160000005</v>
      </c>
      <c r="AA119">
        <v>554.57401800000002</v>
      </c>
      <c r="AB119">
        <v>554.59088189999898</v>
      </c>
      <c r="AC119">
        <v>555.57403279999903</v>
      </c>
      <c r="AD119">
        <v>555.57403279999903</v>
      </c>
      <c r="AE119">
        <v>557.07462569999996</v>
      </c>
      <c r="AF119">
        <v>557.07462569999996</v>
      </c>
      <c r="AG119">
        <v>557.07462569999996</v>
      </c>
      <c r="AH119">
        <v>560.425692999999</v>
      </c>
      <c r="AI119" t="s">
        <v>58</v>
      </c>
      <c r="AJ119">
        <v>3.3422567000000001</v>
      </c>
      <c r="AK119" t="s">
        <v>49</v>
      </c>
      <c r="AO119" t="s">
        <v>50</v>
      </c>
      <c r="AP119">
        <v>1</v>
      </c>
      <c r="AQ119" t="s">
        <v>51</v>
      </c>
      <c r="AR119" t="s">
        <v>52</v>
      </c>
      <c r="AT119" t="s">
        <v>53</v>
      </c>
      <c r="AU119">
        <v>60.047942277100802</v>
      </c>
      <c r="AV119" t="s">
        <v>54</v>
      </c>
    </row>
    <row r="120" spans="1:48" x14ac:dyDescent="0.35">
      <c r="A120">
        <v>458369</v>
      </c>
      <c r="B120" t="s">
        <v>57</v>
      </c>
      <c r="C120">
        <v>2</v>
      </c>
      <c r="D120">
        <v>117</v>
      </c>
      <c r="E120">
        <v>117</v>
      </c>
      <c r="F120">
        <v>0</v>
      </c>
      <c r="G120" t="s">
        <v>58</v>
      </c>
      <c r="H120">
        <v>12.146485200000001</v>
      </c>
      <c r="I120" t="s">
        <v>49</v>
      </c>
      <c r="J120">
        <v>0</v>
      </c>
      <c r="K120">
        <v>117</v>
      </c>
      <c r="L120">
        <v>117</v>
      </c>
      <c r="M120">
        <v>44</v>
      </c>
      <c r="N120">
        <v>560.49505309999995</v>
      </c>
      <c r="W120">
        <v>1</v>
      </c>
      <c r="X120">
        <v>10</v>
      </c>
      <c r="Y120">
        <v>560.49061519999998</v>
      </c>
      <c r="Z120">
        <v>560.49505309999995</v>
      </c>
      <c r="AA120">
        <v>561.44146369999999</v>
      </c>
      <c r="AB120">
        <v>561.5075938</v>
      </c>
      <c r="AC120">
        <v>562.44175919999998</v>
      </c>
      <c r="AD120">
        <v>562.44175919999998</v>
      </c>
      <c r="AE120">
        <v>563.94082879999996</v>
      </c>
      <c r="AF120">
        <v>563.94082879999996</v>
      </c>
      <c r="AG120">
        <v>563.94082879999996</v>
      </c>
      <c r="AH120">
        <v>576.0915238</v>
      </c>
      <c r="AI120" t="s">
        <v>58</v>
      </c>
      <c r="AJ120">
        <v>12.146485200000001</v>
      </c>
      <c r="AK120" t="s">
        <v>49</v>
      </c>
      <c r="AO120" t="s">
        <v>50</v>
      </c>
      <c r="AP120">
        <v>1</v>
      </c>
      <c r="AQ120" t="s">
        <v>51</v>
      </c>
      <c r="AR120" t="s">
        <v>52</v>
      </c>
      <c r="AT120" t="s">
        <v>53</v>
      </c>
      <c r="AU120">
        <v>60.047942277100802</v>
      </c>
      <c r="AV120" t="s">
        <v>54</v>
      </c>
    </row>
    <row r="121" spans="1:48" x14ac:dyDescent="0.35">
      <c r="A121">
        <v>603723</v>
      </c>
      <c r="B121" t="s">
        <v>57</v>
      </c>
      <c r="C121">
        <v>9</v>
      </c>
      <c r="D121">
        <v>118</v>
      </c>
      <c r="E121">
        <v>118</v>
      </c>
      <c r="F121">
        <v>0</v>
      </c>
      <c r="G121" t="s">
        <v>58</v>
      </c>
      <c r="H121">
        <v>14.410443900000001</v>
      </c>
      <c r="I121" t="s">
        <v>49</v>
      </c>
      <c r="J121">
        <v>0</v>
      </c>
      <c r="K121">
        <v>118</v>
      </c>
      <c r="L121">
        <v>118</v>
      </c>
      <c r="M121">
        <v>55</v>
      </c>
      <c r="N121">
        <v>576.10861839999995</v>
      </c>
      <c r="W121">
        <v>0</v>
      </c>
      <c r="X121">
        <v>0</v>
      </c>
      <c r="Y121">
        <v>576.10458270000004</v>
      </c>
      <c r="Z121">
        <v>576.10861839999995</v>
      </c>
      <c r="AA121">
        <v>577.09104809999997</v>
      </c>
      <c r="AB121">
        <v>577.10738590000005</v>
      </c>
      <c r="AC121">
        <v>578.09098049999898</v>
      </c>
      <c r="AD121">
        <v>578.10727989999998</v>
      </c>
      <c r="AE121">
        <v>579.60710999999901</v>
      </c>
      <c r="AF121">
        <v>579.60710999999901</v>
      </c>
      <c r="AG121">
        <v>579.60710999999901</v>
      </c>
      <c r="AH121">
        <v>594.02501540000003</v>
      </c>
      <c r="AI121" t="s">
        <v>58</v>
      </c>
      <c r="AJ121">
        <v>14.410443900000001</v>
      </c>
      <c r="AK121" t="s">
        <v>49</v>
      </c>
      <c r="AO121" t="s">
        <v>50</v>
      </c>
      <c r="AP121">
        <v>1</v>
      </c>
      <c r="AQ121" t="s">
        <v>51</v>
      </c>
      <c r="AR121" t="s">
        <v>52</v>
      </c>
      <c r="AT121" t="s">
        <v>53</v>
      </c>
      <c r="AU121">
        <v>60.047942277100802</v>
      </c>
      <c r="AV121" t="s">
        <v>54</v>
      </c>
    </row>
    <row r="122" spans="1:48" x14ac:dyDescent="0.35">
      <c r="A122">
        <v>648247</v>
      </c>
      <c r="B122" t="s">
        <v>57</v>
      </c>
      <c r="C122">
        <v>1</v>
      </c>
      <c r="D122">
        <v>119</v>
      </c>
      <c r="E122">
        <v>119</v>
      </c>
      <c r="F122">
        <v>0</v>
      </c>
      <c r="G122" t="s">
        <v>58</v>
      </c>
      <c r="H122">
        <v>11.611906999999899</v>
      </c>
      <c r="I122" t="s">
        <v>49</v>
      </c>
      <c r="J122">
        <v>0</v>
      </c>
      <c r="K122">
        <v>119</v>
      </c>
      <c r="L122">
        <v>119</v>
      </c>
      <c r="M122">
        <v>104</v>
      </c>
      <c r="N122">
        <v>594.08120469999994</v>
      </c>
      <c r="W122">
        <v>1</v>
      </c>
      <c r="X122">
        <v>10</v>
      </c>
      <c r="Y122">
        <v>594.07763079999995</v>
      </c>
      <c r="Z122">
        <v>594.08120469999994</v>
      </c>
      <c r="AA122">
        <v>595.04090359999998</v>
      </c>
      <c r="AB122">
        <v>595.07898619999901</v>
      </c>
      <c r="AC122">
        <v>596.04014809999899</v>
      </c>
      <c r="AD122">
        <v>596.04014809999899</v>
      </c>
      <c r="AE122">
        <v>597.54036499999995</v>
      </c>
      <c r="AF122">
        <v>597.54036499999995</v>
      </c>
      <c r="AG122">
        <v>597.54036499999995</v>
      </c>
      <c r="AH122">
        <v>609.15747799999997</v>
      </c>
      <c r="AI122" t="s">
        <v>58</v>
      </c>
      <c r="AJ122">
        <v>11.611906999999899</v>
      </c>
      <c r="AK122" t="s">
        <v>49</v>
      </c>
      <c r="AO122" t="s">
        <v>50</v>
      </c>
      <c r="AP122">
        <v>1</v>
      </c>
      <c r="AQ122" t="s">
        <v>51</v>
      </c>
      <c r="AR122" t="s">
        <v>52</v>
      </c>
      <c r="AT122" t="s">
        <v>53</v>
      </c>
      <c r="AU122">
        <v>60.047942277100802</v>
      </c>
      <c r="AV122" t="s">
        <v>54</v>
      </c>
    </row>
    <row r="123" spans="1:48" x14ac:dyDescent="0.35">
      <c r="A123">
        <v>719489</v>
      </c>
      <c r="B123" t="s">
        <v>55</v>
      </c>
      <c r="C123">
        <v>7</v>
      </c>
      <c r="D123">
        <v>120</v>
      </c>
      <c r="E123">
        <v>120</v>
      </c>
      <c r="F123">
        <v>0</v>
      </c>
      <c r="G123" t="s">
        <v>58</v>
      </c>
      <c r="H123">
        <v>1.76947600000005</v>
      </c>
      <c r="I123" t="s">
        <v>49</v>
      </c>
      <c r="J123">
        <v>0</v>
      </c>
      <c r="K123">
        <v>120</v>
      </c>
      <c r="L123">
        <v>120</v>
      </c>
      <c r="M123">
        <v>56</v>
      </c>
      <c r="N123">
        <v>609.173361599999</v>
      </c>
      <c r="W123">
        <v>0</v>
      </c>
      <c r="X123">
        <v>0</v>
      </c>
      <c r="Y123">
        <v>609.16851840000004</v>
      </c>
      <c r="Z123">
        <v>609.173361599999</v>
      </c>
      <c r="AA123">
        <v>610.15680550000002</v>
      </c>
      <c r="AB123">
        <v>610.17371189999994</v>
      </c>
      <c r="AC123">
        <v>611.15651639999896</v>
      </c>
      <c r="AD123">
        <v>611.15651639999896</v>
      </c>
      <c r="AE123">
        <v>612.65637900000002</v>
      </c>
      <c r="AF123">
        <v>612.67339309999898</v>
      </c>
      <c r="AG123">
        <v>612.67339309999898</v>
      </c>
      <c r="AH123">
        <v>614.45820189999995</v>
      </c>
      <c r="AI123" t="s">
        <v>58</v>
      </c>
      <c r="AJ123">
        <v>1.76947600000005</v>
      </c>
      <c r="AK123" t="s">
        <v>49</v>
      </c>
      <c r="AO123" t="s">
        <v>50</v>
      </c>
      <c r="AP123">
        <v>1</v>
      </c>
      <c r="AQ123" t="s">
        <v>51</v>
      </c>
      <c r="AR123" t="s">
        <v>52</v>
      </c>
      <c r="AT123" t="s">
        <v>53</v>
      </c>
      <c r="AU123">
        <v>60.047942277100802</v>
      </c>
      <c r="AV123" t="s">
        <v>54</v>
      </c>
    </row>
    <row r="124" spans="1:48" x14ac:dyDescent="0.35">
      <c r="A124">
        <v>268227</v>
      </c>
      <c r="B124" t="s">
        <v>55</v>
      </c>
      <c r="C124">
        <v>2</v>
      </c>
      <c r="D124">
        <v>121</v>
      </c>
      <c r="E124">
        <v>121</v>
      </c>
      <c r="F124">
        <v>0</v>
      </c>
      <c r="G124" t="s">
        <v>58</v>
      </c>
      <c r="H124">
        <v>1.3246910999999899</v>
      </c>
      <c r="I124" t="s">
        <v>49</v>
      </c>
      <c r="J124">
        <v>0</v>
      </c>
      <c r="K124">
        <v>121</v>
      </c>
      <c r="L124">
        <v>121</v>
      </c>
      <c r="M124">
        <v>130</v>
      </c>
      <c r="N124">
        <v>614.47803989999898</v>
      </c>
      <c r="W124">
        <v>0</v>
      </c>
      <c r="X124">
        <v>0</v>
      </c>
      <c r="Y124">
        <v>614.4747668</v>
      </c>
      <c r="Z124">
        <v>614.47803989999898</v>
      </c>
      <c r="AA124">
        <v>615.47399589999998</v>
      </c>
      <c r="AB124">
        <v>615.48973849999902</v>
      </c>
      <c r="AC124">
        <v>616.47332329999995</v>
      </c>
      <c r="AD124">
        <v>616.47332329999995</v>
      </c>
      <c r="AE124">
        <v>617.97411209999996</v>
      </c>
      <c r="AF124">
        <v>617.97411209999996</v>
      </c>
      <c r="AG124">
        <v>617.97411209999996</v>
      </c>
      <c r="AH124">
        <v>619.3084245</v>
      </c>
      <c r="AI124" t="s">
        <v>58</v>
      </c>
      <c r="AJ124">
        <v>1.3246910999999899</v>
      </c>
      <c r="AK124" t="s">
        <v>49</v>
      </c>
      <c r="AO124" t="s">
        <v>50</v>
      </c>
      <c r="AP124">
        <v>1</v>
      </c>
      <c r="AQ124" t="s">
        <v>51</v>
      </c>
      <c r="AR124" t="s">
        <v>52</v>
      </c>
      <c r="AT124" t="s">
        <v>53</v>
      </c>
      <c r="AU124">
        <v>60.047942277100802</v>
      </c>
      <c r="AV124" t="s">
        <v>54</v>
      </c>
    </row>
    <row r="125" spans="1:48" x14ac:dyDescent="0.35">
      <c r="A125">
        <v>623498</v>
      </c>
      <c r="B125" t="s">
        <v>57</v>
      </c>
      <c r="C125">
        <v>1</v>
      </c>
      <c r="D125">
        <v>122</v>
      </c>
      <c r="E125">
        <v>122</v>
      </c>
      <c r="F125">
        <v>0</v>
      </c>
      <c r="G125" t="s">
        <v>58</v>
      </c>
      <c r="H125">
        <v>1.35082820000002</v>
      </c>
      <c r="I125" t="s">
        <v>49</v>
      </c>
      <c r="J125">
        <v>0</v>
      </c>
      <c r="K125">
        <v>122</v>
      </c>
      <c r="L125">
        <v>122</v>
      </c>
      <c r="M125">
        <v>89</v>
      </c>
      <c r="N125">
        <v>619.32567769999901</v>
      </c>
      <c r="W125">
        <v>0</v>
      </c>
      <c r="X125">
        <v>0</v>
      </c>
      <c r="Y125">
        <v>619.32090900000003</v>
      </c>
      <c r="Z125">
        <v>619.32567769999901</v>
      </c>
      <c r="AA125">
        <v>620.32394199999999</v>
      </c>
      <c r="AB125">
        <v>620.34035939999899</v>
      </c>
      <c r="AC125">
        <v>621.32354949999899</v>
      </c>
      <c r="AD125">
        <v>621.32354949999899</v>
      </c>
      <c r="AE125">
        <v>622.82341109999902</v>
      </c>
      <c r="AF125">
        <v>622.82341109999902</v>
      </c>
      <c r="AG125">
        <v>622.82341109999902</v>
      </c>
      <c r="AH125">
        <v>624.19137649999902</v>
      </c>
      <c r="AI125" t="s">
        <v>58</v>
      </c>
      <c r="AJ125">
        <v>1.35082820000002</v>
      </c>
      <c r="AK125" t="s">
        <v>49</v>
      </c>
      <c r="AO125" t="s">
        <v>50</v>
      </c>
      <c r="AP125">
        <v>1</v>
      </c>
      <c r="AQ125" t="s">
        <v>51</v>
      </c>
      <c r="AR125" t="s">
        <v>52</v>
      </c>
      <c r="AT125" t="s">
        <v>53</v>
      </c>
      <c r="AU125">
        <v>60.047942277100802</v>
      </c>
      <c r="AV125" t="s">
        <v>54</v>
      </c>
    </row>
    <row r="126" spans="1:48" x14ac:dyDescent="0.35">
      <c r="A126">
        <v>787441</v>
      </c>
      <c r="B126" t="s">
        <v>55</v>
      </c>
      <c r="C126">
        <v>7</v>
      </c>
      <c r="D126">
        <v>123</v>
      </c>
      <c r="E126">
        <v>123</v>
      </c>
      <c r="F126">
        <v>0</v>
      </c>
      <c r="G126" t="s">
        <v>58</v>
      </c>
      <c r="H126">
        <v>7.3138721000000197</v>
      </c>
      <c r="I126" t="s">
        <v>49</v>
      </c>
      <c r="J126">
        <v>0</v>
      </c>
      <c r="K126">
        <v>123</v>
      </c>
      <c r="L126">
        <v>123</v>
      </c>
      <c r="M126">
        <v>79</v>
      </c>
      <c r="N126">
        <v>624.20867279999902</v>
      </c>
      <c r="W126">
        <v>0</v>
      </c>
      <c r="X126">
        <v>0</v>
      </c>
      <c r="Y126">
        <v>624.20545569999899</v>
      </c>
      <c r="Z126">
        <v>624.20867279999902</v>
      </c>
      <c r="AA126">
        <v>625.20700360000001</v>
      </c>
      <c r="AB126">
        <v>625.22315119999996</v>
      </c>
      <c r="AC126">
        <v>626.20688640000003</v>
      </c>
      <c r="AD126">
        <v>626.20688640000003</v>
      </c>
      <c r="AE126">
        <v>627.70679029999997</v>
      </c>
      <c r="AF126">
        <v>627.70679029999997</v>
      </c>
      <c r="AG126">
        <v>627.70679029999997</v>
      </c>
      <c r="AH126">
        <v>635.02411559999996</v>
      </c>
      <c r="AI126" t="s">
        <v>58</v>
      </c>
      <c r="AJ126">
        <v>7.3138721000000197</v>
      </c>
      <c r="AK126" t="s">
        <v>49</v>
      </c>
      <c r="AO126" t="s">
        <v>50</v>
      </c>
      <c r="AP126">
        <v>1</v>
      </c>
      <c r="AQ126" t="s">
        <v>51</v>
      </c>
      <c r="AR126" t="s">
        <v>52</v>
      </c>
      <c r="AT126" t="s">
        <v>53</v>
      </c>
      <c r="AU126">
        <v>60.047942277100802</v>
      </c>
      <c r="AV126" t="s">
        <v>54</v>
      </c>
    </row>
    <row r="127" spans="1:48" x14ac:dyDescent="0.35">
      <c r="A127">
        <v>740612</v>
      </c>
      <c r="B127" t="s">
        <v>55</v>
      </c>
      <c r="C127">
        <v>4</v>
      </c>
      <c r="D127">
        <v>124</v>
      </c>
      <c r="E127">
        <v>124</v>
      </c>
      <c r="F127">
        <v>0</v>
      </c>
      <c r="G127" t="s">
        <v>58</v>
      </c>
      <c r="H127">
        <v>1.0175659000000199</v>
      </c>
      <c r="I127" t="s">
        <v>49</v>
      </c>
      <c r="J127">
        <v>0</v>
      </c>
      <c r="K127">
        <v>124</v>
      </c>
      <c r="L127">
        <v>124</v>
      </c>
      <c r="M127">
        <v>134</v>
      </c>
      <c r="N127">
        <v>635.04384409999898</v>
      </c>
      <c r="W127">
        <v>0</v>
      </c>
      <c r="X127">
        <v>0</v>
      </c>
      <c r="Y127">
        <v>635.04038979999996</v>
      </c>
      <c r="Z127">
        <v>635.04384409999898</v>
      </c>
      <c r="AA127">
        <v>636.03997239999899</v>
      </c>
      <c r="AB127">
        <v>636.05726809999896</v>
      </c>
      <c r="AC127">
        <v>637.04011109999897</v>
      </c>
      <c r="AD127">
        <v>637.02354809999997</v>
      </c>
      <c r="AE127">
        <v>638.52290129999994</v>
      </c>
      <c r="AF127">
        <v>638.53976769999997</v>
      </c>
      <c r="AG127">
        <v>638.53976769999997</v>
      </c>
      <c r="AH127">
        <v>639.55798000000004</v>
      </c>
      <c r="AI127" t="s">
        <v>58</v>
      </c>
      <c r="AJ127">
        <v>1.0175659000000199</v>
      </c>
      <c r="AK127" t="s">
        <v>49</v>
      </c>
      <c r="AO127" t="s">
        <v>50</v>
      </c>
      <c r="AP127">
        <v>1</v>
      </c>
      <c r="AQ127" t="s">
        <v>51</v>
      </c>
      <c r="AR127" t="s">
        <v>52</v>
      </c>
      <c r="AT127" t="s">
        <v>53</v>
      </c>
      <c r="AU127">
        <v>60.047942277100802</v>
      </c>
      <c r="AV127" t="s">
        <v>54</v>
      </c>
    </row>
    <row r="128" spans="1:48" x14ac:dyDescent="0.35">
      <c r="A128">
        <v>310793</v>
      </c>
      <c r="B128" t="s">
        <v>55</v>
      </c>
      <c r="C128">
        <v>1</v>
      </c>
      <c r="D128">
        <v>125</v>
      </c>
      <c r="E128">
        <v>125</v>
      </c>
      <c r="F128">
        <v>0</v>
      </c>
      <c r="G128" t="s">
        <v>56</v>
      </c>
      <c r="H128">
        <v>1.80408590000001</v>
      </c>
      <c r="I128" t="s">
        <v>49</v>
      </c>
      <c r="J128">
        <v>0</v>
      </c>
      <c r="K128">
        <v>125</v>
      </c>
      <c r="L128">
        <v>125</v>
      </c>
      <c r="M128">
        <v>25</v>
      </c>
      <c r="N128">
        <v>639.57337080000002</v>
      </c>
      <c r="W128">
        <v>0</v>
      </c>
      <c r="X128">
        <v>0</v>
      </c>
      <c r="Y128">
        <v>639.57020609999995</v>
      </c>
      <c r="Z128">
        <v>639.57337080000002</v>
      </c>
      <c r="AA128">
        <v>640.57326349999903</v>
      </c>
      <c r="AB128">
        <v>640.57326349999903</v>
      </c>
      <c r="AC128">
        <v>641.573093499999</v>
      </c>
      <c r="AD128">
        <v>641.573093499999</v>
      </c>
      <c r="AE128">
        <v>643.07276579999996</v>
      </c>
      <c r="AF128">
        <v>643.07276579999996</v>
      </c>
      <c r="AG128">
        <v>643.07276579999996</v>
      </c>
      <c r="AH128">
        <v>644.89055409999901</v>
      </c>
      <c r="AI128" t="s">
        <v>56</v>
      </c>
      <c r="AJ128">
        <v>1.80408590000001</v>
      </c>
      <c r="AK128" t="s">
        <v>49</v>
      </c>
      <c r="AO128" t="s">
        <v>50</v>
      </c>
      <c r="AP128">
        <v>1</v>
      </c>
      <c r="AQ128" t="s">
        <v>51</v>
      </c>
      <c r="AR128" t="s">
        <v>52</v>
      </c>
      <c r="AT128" t="s">
        <v>53</v>
      </c>
      <c r="AU128">
        <v>60.047942277100802</v>
      </c>
      <c r="AV128" t="s">
        <v>54</v>
      </c>
    </row>
    <row r="129" spans="1:48" x14ac:dyDescent="0.35">
      <c r="A129">
        <v>359291</v>
      </c>
      <c r="B129" t="s">
        <v>55</v>
      </c>
      <c r="C129">
        <v>3</v>
      </c>
      <c r="D129">
        <v>126</v>
      </c>
      <c r="E129">
        <v>126</v>
      </c>
      <c r="F129">
        <v>0</v>
      </c>
      <c r="G129" t="s">
        <v>56</v>
      </c>
      <c r="H129">
        <v>0.77148650000003705</v>
      </c>
      <c r="I129" t="s">
        <v>49</v>
      </c>
      <c r="J129">
        <v>0</v>
      </c>
      <c r="K129">
        <v>126</v>
      </c>
      <c r="L129">
        <v>126</v>
      </c>
      <c r="M129">
        <v>11</v>
      </c>
      <c r="N129">
        <v>644.90593850000005</v>
      </c>
      <c r="W129">
        <v>0</v>
      </c>
      <c r="X129">
        <v>0</v>
      </c>
      <c r="Y129">
        <v>644.90237609999997</v>
      </c>
      <c r="Z129">
        <v>644.90593850000005</v>
      </c>
      <c r="AA129">
        <v>645.90611100000001</v>
      </c>
      <c r="AB129">
        <v>645.90611100000001</v>
      </c>
      <c r="AC129">
        <v>646.90595399999995</v>
      </c>
      <c r="AD129">
        <v>646.90595399999995</v>
      </c>
      <c r="AE129">
        <v>648.40637149999998</v>
      </c>
      <c r="AF129">
        <v>648.38916270000004</v>
      </c>
      <c r="AG129">
        <v>648.38916270000004</v>
      </c>
      <c r="AH129">
        <v>649.17341869999996</v>
      </c>
      <c r="AI129" t="s">
        <v>56</v>
      </c>
      <c r="AJ129">
        <v>0.77148650000003705</v>
      </c>
      <c r="AK129" t="s">
        <v>49</v>
      </c>
      <c r="AO129" t="s">
        <v>50</v>
      </c>
      <c r="AP129">
        <v>1</v>
      </c>
      <c r="AQ129" t="s">
        <v>51</v>
      </c>
      <c r="AR129" t="s">
        <v>52</v>
      </c>
      <c r="AT129" t="s">
        <v>53</v>
      </c>
      <c r="AU129">
        <v>60.047942277100802</v>
      </c>
      <c r="AV129" t="s">
        <v>54</v>
      </c>
    </row>
    <row r="130" spans="1:48" x14ac:dyDescent="0.35">
      <c r="A130">
        <v>149413</v>
      </c>
      <c r="B130" t="s">
        <v>55</v>
      </c>
      <c r="C130">
        <v>1</v>
      </c>
      <c r="D130">
        <v>127</v>
      </c>
      <c r="E130">
        <v>127</v>
      </c>
      <c r="F130">
        <v>0</v>
      </c>
      <c r="G130" t="s">
        <v>56</v>
      </c>
      <c r="H130">
        <v>0.94474330000002704</v>
      </c>
      <c r="I130" t="s">
        <v>49</v>
      </c>
      <c r="J130">
        <v>0</v>
      </c>
      <c r="K130">
        <v>127</v>
      </c>
      <c r="L130">
        <v>127</v>
      </c>
      <c r="M130">
        <v>129</v>
      </c>
      <c r="N130">
        <v>649.19604770000001</v>
      </c>
      <c r="W130">
        <v>0</v>
      </c>
      <c r="X130">
        <v>0</v>
      </c>
      <c r="Y130">
        <v>649.1924606</v>
      </c>
      <c r="Z130">
        <v>649.19604770000001</v>
      </c>
      <c r="AA130">
        <v>650.17256279999901</v>
      </c>
      <c r="AB130">
        <v>650.20590339999899</v>
      </c>
      <c r="AC130">
        <v>651.17253159999996</v>
      </c>
      <c r="AD130">
        <v>651.17253159999996</v>
      </c>
      <c r="AE130">
        <v>652.67257989999996</v>
      </c>
      <c r="AF130">
        <v>652.67257989999996</v>
      </c>
      <c r="AG130">
        <v>652.67257989999996</v>
      </c>
      <c r="AH130">
        <v>653.62329879999902</v>
      </c>
      <c r="AI130" t="s">
        <v>56</v>
      </c>
      <c r="AJ130">
        <v>0.94474330000002704</v>
      </c>
      <c r="AK130" t="s">
        <v>49</v>
      </c>
      <c r="AO130" t="s">
        <v>50</v>
      </c>
      <c r="AP130">
        <v>1</v>
      </c>
      <c r="AQ130" t="s">
        <v>51</v>
      </c>
      <c r="AR130" t="s">
        <v>52</v>
      </c>
      <c r="AT130" t="s">
        <v>53</v>
      </c>
      <c r="AU130">
        <v>60.047942277100802</v>
      </c>
      <c r="AV130" t="s">
        <v>54</v>
      </c>
    </row>
    <row r="131" spans="1:48" x14ac:dyDescent="0.35">
      <c r="A131">
        <v>456807</v>
      </c>
      <c r="B131" t="s">
        <v>57</v>
      </c>
      <c r="C131">
        <v>1</v>
      </c>
      <c r="D131">
        <v>128</v>
      </c>
      <c r="E131">
        <v>128</v>
      </c>
      <c r="F131">
        <v>0</v>
      </c>
      <c r="G131" t="s">
        <v>58</v>
      </c>
      <c r="H131">
        <v>0.65252450000002604</v>
      </c>
      <c r="I131" t="s">
        <v>49</v>
      </c>
      <c r="J131">
        <v>0</v>
      </c>
      <c r="K131">
        <v>128</v>
      </c>
      <c r="L131">
        <v>128</v>
      </c>
      <c r="M131">
        <v>32</v>
      </c>
      <c r="N131">
        <v>653.679562699999</v>
      </c>
      <c r="W131">
        <v>1</v>
      </c>
      <c r="X131">
        <v>10</v>
      </c>
      <c r="Y131">
        <v>653.67561139999998</v>
      </c>
      <c r="Z131">
        <v>653.679562699999</v>
      </c>
      <c r="AA131">
        <v>654.62273230000005</v>
      </c>
      <c r="AB131">
        <v>654.68942479999998</v>
      </c>
      <c r="AC131">
        <v>655.62254379999899</v>
      </c>
      <c r="AD131">
        <v>655.62254379999899</v>
      </c>
      <c r="AE131">
        <v>657.12244519999899</v>
      </c>
      <c r="AF131">
        <v>657.13920859999996</v>
      </c>
      <c r="AG131">
        <v>657.13920859999996</v>
      </c>
      <c r="AH131">
        <v>657.80664159999901</v>
      </c>
      <c r="AI131" t="s">
        <v>58</v>
      </c>
      <c r="AJ131">
        <v>0.65252450000002604</v>
      </c>
      <c r="AK131" t="s">
        <v>49</v>
      </c>
      <c r="AO131" t="s">
        <v>50</v>
      </c>
      <c r="AP131">
        <v>1</v>
      </c>
      <c r="AQ131" t="s">
        <v>51</v>
      </c>
      <c r="AR131" t="s">
        <v>52</v>
      </c>
      <c r="AT131" t="s">
        <v>53</v>
      </c>
      <c r="AU131">
        <v>60.047942277100802</v>
      </c>
      <c r="AV131" t="s">
        <v>54</v>
      </c>
    </row>
    <row r="132" spans="1:48" x14ac:dyDescent="0.35">
      <c r="A132">
        <v>664413</v>
      </c>
      <c r="B132" t="s">
        <v>57</v>
      </c>
      <c r="C132">
        <v>5</v>
      </c>
      <c r="D132">
        <v>129</v>
      </c>
      <c r="E132">
        <v>129</v>
      </c>
      <c r="F132">
        <v>0</v>
      </c>
      <c r="G132" t="s">
        <v>58</v>
      </c>
      <c r="H132">
        <v>0.69222630000001495</v>
      </c>
      <c r="I132" t="s">
        <v>49</v>
      </c>
      <c r="J132">
        <v>0</v>
      </c>
      <c r="K132">
        <v>129</v>
      </c>
      <c r="L132">
        <v>129</v>
      </c>
      <c r="M132">
        <v>30</v>
      </c>
      <c r="N132">
        <v>657.82697729999995</v>
      </c>
      <c r="W132">
        <v>0</v>
      </c>
      <c r="X132">
        <v>0</v>
      </c>
      <c r="Y132">
        <v>657.82317839999996</v>
      </c>
      <c r="Z132">
        <v>657.82697729999995</v>
      </c>
      <c r="AA132">
        <v>658.8060845</v>
      </c>
      <c r="AB132">
        <v>658.84000599999899</v>
      </c>
      <c r="AC132">
        <v>659.80559369999901</v>
      </c>
      <c r="AD132">
        <v>659.82253760000003</v>
      </c>
      <c r="AE132">
        <v>661.32261840000001</v>
      </c>
      <c r="AF132">
        <v>661.32261840000001</v>
      </c>
      <c r="AG132">
        <v>661.32261840000001</v>
      </c>
      <c r="AH132">
        <v>662.02315819999899</v>
      </c>
      <c r="AI132" t="s">
        <v>58</v>
      </c>
      <c r="AJ132">
        <v>0.69222630000001495</v>
      </c>
      <c r="AK132" t="s">
        <v>49</v>
      </c>
      <c r="AO132" t="s">
        <v>50</v>
      </c>
      <c r="AP132">
        <v>1</v>
      </c>
      <c r="AQ132" t="s">
        <v>51</v>
      </c>
      <c r="AR132" t="s">
        <v>52</v>
      </c>
      <c r="AT132" t="s">
        <v>53</v>
      </c>
      <c r="AU132">
        <v>60.047942277100802</v>
      </c>
      <c r="AV132" t="s">
        <v>54</v>
      </c>
    </row>
    <row r="133" spans="1:48" x14ac:dyDescent="0.35">
      <c r="A133">
        <v>652768</v>
      </c>
      <c r="B133" t="s">
        <v>57</v>
      </c>
      <c r="C133">
        <v>4</v>
      </c>
      <c r="D133">
        <v>130</v>
      </c>
      <c r="E133">
        <v>130</v>
      </c>
      <c r="F133">
        <v>0</v>
      </c>
      <c r="G133" t="s">
        <v>58</v>
      </c>
      <c r="H133">
        <v>2.95495119999998</v>
      </c>
      <c r="I133" t="s">
        <v>49</v>
      </c>
      <c r="J133">
        <v>0</v>
      </c>
      <c r="K133">
        <v>130</v>
      </c>
      <c r="L133">
        <v>130</v>
      </c>
      <c r="M133">
        <v>50</v>
      </c>
      <c r="N133">
        <v>662.04664090000006</v>
      </c>
      <c r="W133">
        <v>0</v>
      </c>
      <c r="X133">
        <v>0</v>
      </c>
      <c r="Y133">
        <v>662.04256069999997</v>
      </c>
      <c r="Z133">
        <v>662.04664090000006</v>
      </c>
      <c r="AA133">
        <v>663.02256439999996</v>
      </c>
      <c r="AB133">
        <v>663.05576169999995</v>
      </c>
      <c r="AC133">
        <v>664.02232379999998</v>
      </c>
      <c r="AD133">
        <v>664.02232379999998</v>
      </c>
      <c r="AE133">
        <v>665.52252249999901</v>
      </c>
      <c r="AF133">
        <v>665.52252249999901</v>
      </c>
      <c r="AG133">
        <v>665.52252249999901</v>
      </c>
      <c r="AH133">
        <v>668.48980069999902</v>
      </c>
      <c r="AI133" t="s">
        <v>58</v>
      </c>
      <c r="AJ133">
        <v>2.95495119999998</v>
      </c>
      <c r="AK133" t="s">
        <v>49</v>
      </c>
      <c r="AO133" t="s">
        <v>50</v>
      </c>
      <c r="AP133">
        <v>1</v>
      </c>
      <c r="AQ133" t="s">
        <v>51</v>
      </c>
      <c r="AR133" t="s">
        <v>52</v>
      </c>
      <c r="AT133" t="s">
        <v>53</v>
      </c>
      <c r="AU133">
        <v>60.047942277100802</v>
      </c>
      <c r="AV133" t="s">
        <v>54</v>
      </c>
    </row>
    <row r="134" spans="1:48" x14ac:dyDescent="0.35">
      <c r="A134">
        <v>792992</v>
      </c>
      <c r="B134" t="s">
        <v>55</v>
      </c>
      <c r="C134">
        <v>2</v>
      </c>
      <c r="D134">
        <v>131</v>
      </c>
      <c r="E134">
        <v>131</v>
      </c>
      <c r="F134">
        <v>0</v>
      </c>
      <c r="G134" t="s">
        <v>58</v>
      </c>
      <c r="H134">
        <v>3.9833959000000001</v>
      </c>
      <c r="I134" t="s">
        <v>49</v>
      </c>
      <c r="J134">
        <v>0</v>
      </c>
      <c r="K134">
        <v>131</v>
      </c>
      <c r="L134">
        <v>131</v>
      </c>
      <c r="M134">
        <v>87</v>
      </c>
      <c r="N134">
        <v>668.56743740000002</v>
      </c>
      <c r="W134">
        <v>1</v>
      </c>
      <c r="X134">
        <v>10</v>
      </c>
      <c r="Y134">
        <v>668.56378229999996</v>
      </c>
      <c r="Z134">
        <v>668.56743740000002</v>
      </c>
      <c r="AA134">
        <v>669.50581339999997</v>
      </c>
      <c r="AB134">
        <v>669.572754699999</v>
      </c>
      <c r="AC134">
        <v>670.50571869999999</v>
      </c>
      <c r="AD134">
        <v>670.48896309999998</v>
      </c>
      <c r="AE134">
        <v>671.98883309999997</v>
      </c>
      <c r="AF134">
        <v>671.98883309999997</v>
      </c>
      <c r="AG134">
        <v>671.98883309999997</v>
      </c>
      <c r="AH134">
        <v>675.97330199999897</v>
      </c>
      <c r="AI134" t="s">
        <v>58</v>
      </c>
      <c r="AJ134">
        <v>3.9833959000000001</v>
      </c>
      <c r="AK134" t="s">
        <v>49</v>
      </c>
      <c r="AO134" t="s">
        <v>50</v>
      </c>
      <c r="AP134">
        <v>1</v>
      </c>
      <c r="AQ134" t="s">
        <v>51</v>
      </c>
      <c r="AR134" t="s">
        <v>52</v>
      </c>
      <c r="AT134" t="s">
        <v>53</v>
      </c>
      <c r="AU134">
        <v>60.047942277100802</v>
      </c>
      <c r="AV134" t="s">
        <v>54</v>
      </c>
    </row>
    <row r="135" spans="1:48" x14ac:dyDescent="0.35">
      <c r="A135">
        <v>190685</v>
      </c>
      <c r="B135" t="s">
        <v>55</v>
      </c>
      <c r="C135">
        <v>0</v>
      </c>
      <c r="D135">
        <v>132</v>
      </c>
      <c r="E135">
        <v>132</v>
      </c>
      <c r="F135">
        <v>0</v>
      </c>
      <c r="G135" t="s">
        <v>56</v>
      </c>
      <c r="H135">
        <v>1.4157741000000199</v>
      </c>
      <c r="I135" t="s">
        <v>49</v>
      </c>
      <c r="J135">
        <v>0</v>
      </c>
      <c r="K135">
        <v>132</v>
      </c>
      <c r="L135">
        <v>132</v>
      </c>
      <c r="M135">
        <v>123</v>
      </c>
      <c r="N135">
        <v>675.99529540000003</v>
      </c>
      <c r="W135">
        <v>0</v>
      </c>
      <c r="X135">
        <v>0</v>
      </c>
      <c r="Y135">
        <v>675.99155299999995</v>
      </c>
      <c r="Z135">
        <v>675.99529540000003</v>
      </c>
      <c r="AA135">
        <v>676.98885619999896</v>
      </c>
      <c r="AB135">
        <v>677.00560040000005</v>
      </c>
      <c r="AC135">
        <v>677.98865069999897</v>
      </c>
      <c r="AD135">
        <v>677.98865069999897</v>
      </c>
      <c r="AE135">
        <v>679.48873060000005</v>
      </c>
      <c r="AF135">
        <v>679.48873060000005</v>
      </c>
      <c r="AG135">
        <v>679.48873060000005</v>
      </c>
      <c r="AH135">
        <v>680.90636949999998</v>
      </c>
      <c r="AI135" t="s">
        <v>56</v>
      </c>
      <c r="AJ135">
        <v>1.4157741000000199</v>
      </c>
      <c r="AK135" t="s">
        <v>49</v>
      </c>
      <c r="AO135" t="s">
        <v>50</v>
      </c>
      <c r="AP135">
        <v>1</v>
      </c>
      <c r="AQ135" t="s">
        <v>51</v>
      </c>
      <c r="AR135" t="s">
        <v>52</v>
      </c>
      <c r="AT135" t="s">
        <v>53</v>
      </c>
      <c r="AU135">
        <v>60.047942277100802</v>
      </c>
      <c r="AV135" t="s">
        <v>54</v>
      </c>
    </row>
    <row r="136" spans="1:48" x14ac:dyDescent="0.35">
      <c r="A136">
        <v>870847</v>
      </c>
      <c r="B136" t="s">
        <v>55</v>
      </c>
      <c r="C136">
        <v>4</v>
      </c>
      <c r="D136">
        <v>133</v>
      </c>
      <c r="E136">
        <v>133</v>
      </c>
      <c r="F136">
        <v>0</v>
      </c>
      <c r="G136" t="s">
        <v>58</v>
      </c>
      <c r="H136">
        <v>5.2257541999999804</v>
      </c>
      <c r="I136" t="s">
        <v>49</v>
      </c>
      <c r="J136">
        <v>0</v>
      </c>
      <c r="K136">
        <v>133</v>
      </c>
      <c r="L136">
        <v>133</v>
      </c>
      <c r="M136">
        <v>49</v>
      </c>
      <c r="N136">
        <v>680.928517099999</v>
      </c>
      <c r="W136">
        <v>0</v>
      </c>
      <c r="X136">
        <v>0</v>
      </c>
      <c r="Y136">
        <v>680.92479849999995</v>
      </c>
      <c r="Z136">
        <v>680.928517099999</v>
      </c>
      <c r="AA136">
        <v>681.92220709999901</v>
      </c>
      <c r="AB136">
        <v>681.93881609999903</v>
      </c>
      <c r="AC136">
        <v>682.92211429999998</v>
      </c>
      <c r="AD136">
        <v>682.92211429999998</v>
      </c>
      <c r="AE136">
        <v>684.42206629999998</v>
      </c>
      <c r="AF136">
        <v>684.42206629999998</v>
      </c>
      <c r="AG136">
        <v>684.42206629999998</v>
      </c>
      <c r="AH136">
        <v>689.656853799999</v>
      </c>
      <c r="AI136" t="s">
        <v>58</v>
      </c>
      <c r="AJ136">
        <v>5.2257541999999804</v>
      </c>
      <c r="AK136" t="s">
        <v>49</v>
      </c>
      <c r="AO136" t="s">
        <v>50</v>
      </c>
      <c r="AP136">
        <v>1</v>
      </c>
      <c r="AQ136" t="s">
        <v>51</v>
      </c>
      <c r="AR136" t="s">
        <v>52</v>
      </c>
      <c r="AT136" t="s">
        <v>53</v>
      </c>
      <c r="AU136">
        <v>60.047942277100802</v>
      </c>
      <c r="AV136" t="s">
        <v>54</v>
      </c>
    </row>
    <row r="137" spans="1:48" x14ac:dyDescent="0.35">
      <c r="A137">
        <v>645214</v>
      </c>
      <c r="B137" t="s">
        <v>55</v>
      </c>
      <c r="C137">
        <v>1</v>
      </c>
      <c r="D137">
        <v>134</v>
      </c>
      <c r="E137">
        <v>134</v>
      </c>
      <c r="F137">
        <v>0</v>
      </c>
      <c r="G137" t="s">
        <v>58</v>
      </c>
      <c r="H137">
        <v>1.57733970000003</v>
      </c>
      <c r="I137" t="s">
        <v>49</v>
      </c>
      <c r="J137">
        <v>0</v>
      </c>
      <c r="K137">
        <v>134</v>
      </c>
      <c r="L137">
        <v>134</v>
      </c>
      <c r="M137">
        <v>47</v>
      </c>
      <c r="N137">
        <v>689.67190719999996</v>
      </c>
      <c r="W137">
        <v>0</v>
      </c>
      <c r="X137">
        <v>0</v>
      </c>
      <c r="Y137">
        <v>689.66784549999898</v>
      </c>
      <c r="Z137">
        <v>689.67190719999996</v>
      </c>
      <c r="AA137">
        <v>690.67192379999995</v>
      </c>
      <c r="AB137">
        <v>690.67192379999995</v>
      </c>
      <c r="AC137">
        <v>691.6722006</v>
      </c>
      <c r="AD137">
        <v>691.6722006</v>
      </c>
      <c r="AE137">
        <v>693.17287739999995</v>
      </c>
      <c r="AF137">
        <v>693.17287739999995</v>
      </c>
      <c r="AG137">
        <v>693.17287739999995</v>
      </c>
      <c r="AH137">
        <v>694.75629019999997</v>
      </c>
      <c r="AI137" t="s">
        <v>58</v>
      </c>
      <c r="AJ137">
        <v>1.57733970000003</v>
      </c>
      <c r="AK137" t="s">
        <v>49</v>
      </c>
      <c r="AO137" t="s">
        <v>50</v>
      </c>
      <c r="AP137">
        <v>1</v>
      </c>
      <c r="AQ137" t="s">
        <v>51</v>
      </c>
      <c r="AR137" t="s">
        <v>52</v>
      </c>
      <c r="AT137" t="s">
        <v>53</v>
      </c>
      <c r="AU137">
        <v>60.047942277100802</v>
      </c>
      <c r="AV137" t="s">
        <v>54</v>
      </c>
    </row>
    <row r="138" spans="1:48" x14ac:dyDescent="0.35">
      <c r="A138">
        <v>335076</v>
      </c>
      <c r="B138" t="s">
        <v>57</v>
      </c>
      <c r="C138">
        <v>2</v>
      </c>
      <c r="D138">
        <v>135</v>
      </c>
      <c r="E138">
        <v>135</v>
      </c>
      <c r="F138">
        <v>0</v>
      </c>
      <c r="G138" t="s">
        <v>58</v>
      </c>
      <c r="H138">
        <v>1.4057493000000201</v>
      </c>
      <c r="I138" t="s">
        <v>49</v>
      </c>
      <c r="J138">
        <v>0</v>
      </c>
      <c r="K138">
        <v>135</v>
      </c>
      <c r="L138">
        <v>135</v>
      </c>
      <c r="M138">
        <v>133</v>
      </c>
      <c r="N138">
        <v>694.77198439999995</v>
      </c>
      <c r="W138">
        <v>0</v>
      </c>
      <c r="X138">
        <v>0</v>
      </c>
      <c r="Y138">
        <v>694.76784539999903</v>
      </c>
      <c r="Z138">
        <v>694.77198439999995</v>
      </c>
      <c r="AA138">
        <v>695.7558904</v>
      </c>
      <c r="AB138">
        <v>695.77258059999997</v>
      </c>
      <c r="AC138">
        <v>696.75526530000002</v>
      </c>
      <c r="AD138">
        <v>696.75526530000002</v>
      </c>
      <c r="AE138">
        <v>698.25580049999996</v>
      </c>
      <c r="AF138">
        <v>698.25580049999996</v>
      </c>
      <c r="AG138">
        <v>698.25580049999996</v>
      </c>
      <c r="AH138">
        <v>699.67329479999898</v>
      </c>
      <c r="AI138" t="s">
        <v>58</v>
      </c>
      <c r="AJ138">
        <v>1.4057493000000201</v>
      </c>
      <c r="AK138" t="s">
        <v>49</v>
      </c>
      <c r="AO138" t="s">
        <v>50</v>
      </c>
      <c r="AP138">
        <v>1</v>
      </c>
      <c r="AQ138" t="s">
        <v>51</v>
      </c>
      <c r="AR138" t="s">
        <v>52</v>
      </c>
      <c r="AT138" t="s">
        <v>53</v>
      </c>
      <c r="AU138">
        <v>60.047942277100802</v>
      </c>
      <c r="AV138" t="s">
        <v>54</v>
      </c>
    </row>
    <row r="139" spans="1:48" x14ac:dyDescent="0.35">
      <c r="A139">
        <v>160740</v>
      </c>
      <c r="B139" t="s">
        <v>55</v>
      </c>
      <c r="C139">
        <v>0</v>
      </c>
      <c r="D139">
        <v>136</v>
      </c>
      <c r="E139">
        <v>136</v>
      </c>
      <c r="F139">
        <v>0</v>
      </c>
      <c r="G139" t="s">
        <v>56</v>
      </c>
      <c r="H139">
        <v>1.2206691999999699</v>
      </c>
      <c r="I139" t="s">
        <v>49</v>
      </c>
      <c r="J139">
        <v>0</v>
      </c>
      <c r="K139">
        <v>136</v>
      </c>
      <c r="L139">
        <v>136</v>
      </c>
      <c r="M139">
        <v>29</v>
      </c>
      <c r="N139">
        <v>699.74876759999995</v>
      </c>
      <c r="W139">
        <v>1</v>
      </c>
      <c r="X139">
        <v>10</v>
      </c>
      <c r="Y139">
        <v>699.74471419999998</v>
      </c>
      <c r="Z139">
        <v>699.74876759999995</v>
      </c>
      <c r="AA139">
        <v>700.68926659999897</v>
      </c>
      <c r="AB139">
        <v>700.75554069999998</v>
      </c>
      <c r="AC139">
        <v>701.68840729999897</v>
      </c>
      <c r="AD139">
        <v>701.68840729999897</v>
      </c>
      <c r="AE139">
        <v>703.18868180000004</v>
      </c>
      <c r="AF139">
        <v>703.18868180000004</v>
      </c>
      <c r="AG139">
        <v>703.18868180000004</v>
      </c>
      <c r="AH139">
        <v>704.42251769999996</v>
      </c>
      <c r="AI139" t="s">
        <v>56</v>
      </c>
      <c r="AJ139">
        <v>1.2206691999999699</v>
      </c>
      <c r="AK139" t="s">
        <v>49</v>
      </c>
      <c r="AO139" t="s">
        <v>50</v>
      </c>
      <c r="AP139">
        <v>1</v>
      </c>
      <c r="AQ139" t="s">
        <v>51</v>
      </c>
      <c r="AR139" t="s">
        <v>52</v>
      </c>
      <c r="AT139" t="s">
        <v>53</v>
      </c>
      <c r="AU139">
        <v>60.047942277100802</v>
      </c>
      <c r="AV139" t="s">
        <v>54</v>
      </c>
    </row>
    <row r="140" spans="1:48" x14ac:dyDescent="0.35">
      <c r="A140">
        <v>527591</v>
      </c>
      <c r="B140" t="s">
        <v>57</v>
      </c>
      <c r="C140">
        <v>0</v>
      </c>
      <c r="D140">
        <v>137</v>
      </c>
      <c r="E140">
        <v>137</v>
      </c>
      <c r="F140">
        <v>0</v>
      </c>
      <c r="G140" t="s">
        <v>58</v>
      </c>
      <c r="H140">
        <v>1.0413733999999899</v>
      </c>
      <c r="I140" t="s">
        <v>49</v>
      </c>
      <c r="J140">
        <v>0</v>
      </c>
      <c r="K140">
        <v>137</v>
      </c>
      <c r="L140">
        <v>137</v>
      </c>
      <c r="M140">
        <v>116</v>
      </c>
      <c r="N140">
        <v>704.46994109999901</v>
      </c>
      <c r="W140">
        <v>1</v>
      </c>
      <c r="X140">
        <v>10</v>
      </c>
      <c r="Y140">
        <v>704.46641049999903</v>
      </c>
      <c r="Z140">
        <v>704.46994109999901</v>
      </c>
      <c r="AA140">
        <v>705.42168219999996</v>
      </c>
      <c r="AB140">
        <v>705.47155069999997</v>
      </c>
      <c r="AC140">
        <v>706.42207719999897</v>
      </c>
      <c r="AD140">
        <v>706.42207719999897</v>
      </c>
      <c r="AE140">
        <v>707.921803799999</v>
      </c>
      <c r="AF140">
        <v>707.921803799999</v>
      </c>
      <c r="AG140">
        <v>707.921803799999</v>
      </c>
      <c r="AH140">
        <v>708.97275119999995</v>
      </c>
      <c r="AI140" t="s">
        <v>58</v>
      </c>
      <c r="AJ140">
        <v>1.0413733999999899</v>
      </c>
      <c r="AK140" t="s">
        <v>49</v>
      </c>
      <c r="AO140" t="s">
        <v>50</v>
      </c>
      <c r="AP140">
        <v>1</v>
      </c>
      <c r="AQ140" t="s">
        <v>51</v>
      </c>
      <c r="AR140" t="s">
        <v>52</v>
      </c>
      <c r="AT140" t="s">
        <v>53</v>
      </c>
      <c r="AU140">
        <v>60.047942277100802</v>
      </c>
      <c r="AV140" t="s">
        <v>54</v>
      </c>
    </row>
    <row r="141" spans="1:48" x14ac:dyDescent="0.35">
      <c r="A141">
        <v>776946</v>
      </c>
      <c r="B141" t="s">
        <v>55</v>
      </c>
      <c r="C141">
        <v>7</v>
      </c>
      <c r="D141">
        <v>138</v>
      </c>
      <c r="E141">
        <v>138</v>
      </c>
      <c r="F141">
        <v>0</v>
      </c>
      <c r="G141" t="s">
        <v>58</v>
      </c>
      <c r="H141">
        <v>2.3607221999999402</v>
      </c>
      <c r="I141" t="s">
        <v>49</v>
      </c>
      <c r="J141">
        <v>0</v>
      </c>
      <c r="K141">
        <v>138</v>
      </c>
      <c r="L141">
        <v>138</v>
      </c>
      <c r="M141">
        <v>42</v>
      </c>
      <c r="N141">
        <v>708.99497829999996</v>
      </c>
      <c r="W141">
        <v>0</v>
      </c>
      <c r="X141">
        <v>0</v>
      </c>
      <c r="Y141">
        <v>708.99064249999901</v>
      </c>
      <c r="Z141">
        <v>708.99497829999996</v>
      </c>
      <c r="AA141">
        <v>709.98894299999995</v>
      </c>
      <c r="AB141">
        <v>710.005375799999</v>
      </c>
      <c r="AC141">
        <v>710.988619499999</v>
      </c>
      <c r="AD141">
        <v>710.988619499999</v>
      </c>
      <c r="AE141">
        <v>712.48847339999998</v>
      </c>
      <c r="AF141">
        <v>712.48847339999998</v>
      </c>
      <c r="AG141">
        <v>712.48847339999998</v>
      </c>
      <c r="AH141">
        <v>714.85564049999903</v>
      </c>
      <c r="AI141" t="s">
        <v>58</v>
      </c>
      <c r="AJ141">
        <v>2.3607221999999402</v>
      </c>
      <c r="AK141" t="s">
        <v>49</v>
      </c>
      <c r="AO141" t="s">
        <v>50</v>
      </c>
      <c r="AP141">
        <v>1</v>
      </c>
      <c r="AQ141" t="s">
        <v>51</v>
      </c>
      <c r="AR141" t="s">
        <v>52</v>
      </c>
      <c r="AT141" t="s">
        <v>53</v>
      </c>
      <c r="AU141">
        <v>60.047942277100802</v>
      </c>
      <c r="AV141" t="s">
        <v>54</v>
      </c>
    </row>
    <row r="142" spans="1:48" x14ac:dyDescent="0.35">
      <c r="A142">
        <v>716914</v>
      </c>
      <c r="B142" t="s">
        <v>57</v>
      </c>
      <c r="C142">
        <v>5</v>
      </c>
      <c r="D142">
        <v>139</v>
      </c>
      <c r="E142">
        <v>139</v>
      </c>
      <c r="F142">
        <v>0</v>
      </c>
      <c r="G142" t="s">
        <v>58</v>
      </c>
      <c r="H142">
        <v>3.2038429000000401</v>
      </c>
      <c r="I142" t="s">
        <v>49</v>
      </c>
      <c r="J142">
        <v>0</v>
      </c>
      <c r="K142">
        <v>139</v>
      </c>
      <c r="L142">
        <v>139</v>
      </c>
      <c r="M142">
        <v>80</v>
      </c>
      <c r="N142">
        <v>714.92751659999999</v>
      </c>
      <c r="W142">
        <v>1</v>
      </c>
      <c r="X142">
        <v>10</v>
      </c>
      <c r="Y142">
        <v>714.92396239999903</v>
      </c>
      <c r="Z142">
        <v>714.92751659999999</v>
      </c>
      <c r="AA142">
        <v>715.85508200000004</v>
      </c>
      <c r="AB142">
        <v>715.93866449999996</v>
      </c>
      <c r="AC142">
        <v>716.85519589999899</v>
      </c>
      <c r="AD142">
        <v>716.85519589999899</v>
      </c>
      <c r="AE142">
        <v>718.42163959999903</v>
      </c>
      <c r="AF142">
        <v>718.42163959999903</v>
      </c>
      <c r="AG142">
        <v>718.42163959999903</v>
      </c>
      <c r="AH142">
        <v>721.63935160000005</v>
      </c>
      <c r="AI142" t="s">
        <v>58</v>
      </c>
      <c r="AJ142">
        <v>3.2038429000000401</v>
      </c>
      <c r="AK142" t="s">
        <v>49</v>
      </c>
      <c r="AO142" t="s">
        <v>50</v>
      </c>
      <c r="AP142">
        <v>1</v>
      </c>
      <c r="AQ142" t="s">
        <v>51</v>
      </c>
      <c r="AR142" t="s">
        <v>52</v>
      </c>
      <c r="AT142" t="s">
        <v>53</v>
      </c>
      <c r="AU142">
        <v>60.047942277100802</v>
      </c>
      <c r="AV142" t="s">
        <v>54</v>
      </c>
    </row>
    <row r="143" spans="1:48" x14ac:dyDescent="0.35">
      <c r="A143">
        <v>155543</v>
      </c>
      <c r="B143" t="s">
        <v>57</v>
      </c>
      <c r="C143">
        <v>8</v>
      </c>
      <c r="D143">
        <v>140</v>
      </c>
      <c r="E143">
        <v>140</v>
      </c>
      <c r="F143">
        <v>0</v>
      </c>
      <c r="G143" t="s">
        <v>58</v>
      </c>
      <c r="H143">
        <v>0.98559250000005205</v>
      </c>
      <c r="I143" t="s">
        <v>49</v>
      </c>
      <c r="J143">
        <v>0</v>
      </c>
      <c r="K143">
        <v>140</v>
      </c>
      <c r="L143">
        <v>140</v>
      </c>
      <c r="M143">
        <v>124</v>
      </c>
      <c r="N143">
        <v>721.69707679999897</v>
      </c>
      <c r="W143">
        <v>1</v>
      </c>
      <c r="X143">
        <v>10</v>
      </c>
      <c r="Y143">
        <v>721.69353509999996</v>
      </c>
      <c r="Z143">
        <v>721.69707679999897</v>
      </c>
      <c r="AA143">
        <v>722.65515219999997</v>
      </c>
      <c r="AB143">
        <v>722.70506720000003</v>
      </c>
      <c r="AC143">
        <v>723.65473229999998</v>
      </c>
      <c r="AD143">
        <v>723.65473229999998</v>
      </c>
      <c r="AE143">
        <v>725.15527619999898</v>
      </c>
      <c r="AF143">
        <v>725.15527619999898</v>
      </c>
      <c r="AG143">
        <v>725.15527619999898</v>
      </c>
      <c r="AH143">
        <v>726.15554369999995</v>
      </c>
      <c r="AI143" t="s">
        <v>58</v>
      </c>
      <c r="AJ143">
        <v>0.98559250000005205</v>
      </c>
      <c r="AK143" t="s">
        <v>49</v>
      </c>
      <c r="AO143" t="s">
        <v>50</v>
      </c>
      <c r="AP143">
        <v>1</v>
      </c>
      <c r="AQ143" t="s">
        <v>51</v>
      </c>
      <c r="AR143" t="s">
        <v>52</v>
      </c>
      <c r="AT143" t="s">
        <v>53</v>
      </c>
      <c r="AU143">
        <v>60.047942277100802</v>
      </c>
      <c r="AV143" t="s">
        <v>54</v>
      </c>
    </row>
    <row r="144" spans="1:48" x14ac:dyDescent="0.35">
      <c r="A144">
        <v>323047</v>
      </c>
      <c r="B144" t="s">
        <v>55</v>
      </c>
      <c r="C144">
        <v>4</v>
      </c>
      <c r="D144">
        <v>141</v>
      </c>
      <c r="E144">
        <v>141</v>
      </c>
      <c r="F144">
        <v>0</v>
      </c>
      <c r="G144" t="s">
        <v>58</v>
      </c>
      <c r="H144">
        <v>5.0172260000000497</v>
      </c>
      <c r="I144" t="s">
        <v>49</v>
      </c>
      <c r="J144">
        <v>0</v>
      </c>
      <c r="K144">
        <v>141</v>
      </c>
      <c r="L144">
        <v>141</v>
      </c>
      <c r="M144">
        <v>78</v>
      </c>
      <c r="N144">
        <v>726.17124709999996</v>
      </c>
      <c r="W144">
        <v>0</v>
      </c>
      <c r="X144">
        <v>0</v>
      </c>
      <c r="Y144">
        <v>726.16686099999902</v>
      </c>
      <c r="Z144">
        <v>726.17124709999996</v>
      </c>
      <c r="AA144">
        <v>727.15463599999998</v>
      </c>
      <c r="AB144">
        <v>727.17143459999897</v>
      </c>
      <c r="AC144">
        <v>728.15467899999999</v>
      </c>
      <c r="AD144">
        <v>728.15467899999999</v>
      </c>
      <c r="AE144">
        <v>729.65494629999898</v>
      </c>
      <c r="AF144">
        <v>729.65494629999898</v>
      </c>
      <c r="AG144">
        <v>729.65494629999898</v>
      </c>
      <c r="AH144">
        <v>734.67308749999995</v>
      </c>
      <c r="AI144" t="s">
        <v>58</v>
      </c>
      <c r="AJ144">
        <v>5.0172260000000497</v>
      </c>
      <c r="AK144" t="s">
        <v>49</v>
      </c>
      <c r="AO144" t="s">
        <v>50</v>
      </c>
      <c r="AP144">
        <v>1</v>
      </c>
      <c r="AQ144" t="s">
        <v>51</v>
      </c>
      <c r="AR144" t="s">
        <v>52</v>
      </c>
      <c r="AT144" t="s">
        <v>53</v>
      </c>
      <c r="AU144">
        <v>60.047942277100802</v>
      </c>
      <c r="AV144" t="s">
        <v>54</v>
      </c>
    </row>
    <row r="145" spans="1:48" x14ac:dyDescent="0.35">
      <c r="A145">
        <v>503171</v>
      </c>
      <c r="B145" t="s">
        <v>55</v>
      </c>
      <c r="C145">
        <v>1</v>
      </c>
      <c r="D145">
        <v>142</v>
      </c>
      <c r="E145">
        <v>142</v>
      </c>
      <c r="F145">
        <v>0</v>
      </c>
      <c r="G145" t="s">
        <v>56</v>
      </c>
      <c r="H145">
        <v>1.0346329000000101</v>
      </c>
      <c r="I145" t="s">
        <v>49</v>
      </c>
      <c r="J145">
        <v>0</v>
      </c>
      <c r="K145">
        <v>142</v>
      </c>
      <c r="L145">
        <v>142</v>
      </c>
      <c r="M145">
        <v>140</v>
      </c>
      <c r="N145">
        <v>734.70516829999997</v>
      </c>
      <c r="W145">
        <v>0</v>
      </c>
      <c r="X145">
        <v>0</v>
      </c>
      <c r="Y145">
        <v>734.69983690000004</v>
      </c>
      <c r="Z145">
        <v>734.70516829999997</v>
      </c>
      <c r="AA145">
        <v>735.68783370000006</v>
      </c>
      <c r="AB145">
        <v>735.70449970000004</v>
      </c>
      <c r="AC145">
        <v>736.68801599999995</v>
      </c>
      <c r="AD145">
        <v>736.68801599999995</v>
      </c>
      <c r="AE145">
        <v>738.18884159999902</v>
      </c>
      <c r="AF145">
        <v>738.18884159999902</v>
      </c>
      <c r="AG145">
        <v>738.18884159999902</v>
      </c>
      <c r="AH145">
        <v>739.23863899999901</v>
      </c>
      <c r="AI145" t="s">
        <v>56</v>
      </c>
      <c r="AJ145">
        <v>1.0346329000000101</v>
      </c>
      <c r="AK145" t="s">
        <v>49</v>
      </c>
      <c r="AO145" t="s">
        <v>50</v>
      </c>
      <c r="AP145">
        <v>1</v>
      </c>
      <c r="AQ145" t="s">
        <v>51</v>
      </c>
      <c r="AR145" t="s">
        <v>52</v>
      </c>
      <c r="AT145" t="s">
        <v>53</v>
      </c>
      <c r="AU145">
        <v>60.047942277100802</v>
      </c>
      <c r="AV145" t="s">
        <v>54</v>
      </c>
    </row>
    <row r="146" spans="1:48" x14ac:dyDescent="0.35">
      <c r="A146">
        <v>118197</v>
      </c>
      <c r="B146" t="s">
        <v>57</v>
      </c>
      <c r="C146">
        <v>3</v>
      </c>
      <c r="D146">
        <v>143</v>
      </c>
      <c r="E146">
        <v>143</v>
      </c>
      <c r="F146">
        <v>0</v>
      </c>
      <c r="G146" t="s">
        <v>58</v>
      </c>
      <c r="H146">
        <v>1.21134870000003</v>
      </c>
      <c r="I146" t="s">
        <v>49</v>
      </c>
      <c r="J146">
        <v>0</v>
      </c>
      <c r="K146">
        <v>143</v>
      </c>
      <c r="L146">
        <v>143</v>
      </c>
      <c r="M146">
        <v>35</v>
      </c>
      <c r="N146">
        <v>739.29337409999903</v>
      </c>
      <c r="W146">
        <v>1</v>
      </c>
      <c r="X146">
        <v>10</v>
      </c>
      <c r="Y146">
        <v>739.28976909999994</v>
      </c>
      <c r="Z146">
        <v>739.29337409999903</v>
      </c>
      <c r="AA146">
        <v>740.23782200000005</v>
      </c>
      <c r="AB146">
        <v>740.30474849999996</v>
      </c>
      <c r="AC146">
        <v>741.23795189999998</v>
      </c>
      <c r="AD146">
        <v>741.23795189999998</v>
      </c>
      <c r="AE146">
        <v>742.73821099999998</v>
      </c>
      <c r="AF146">
        <v>742.73821099999998</v>
      </c>
      <c r="AG146">
        <v>742.73821099999998</v>
      </c>
      <c r="AH146">
        <v>743.95554349999998</v>
      </c>
      <c r="AI146" t="s">
        <v>58</v>
      </c>
      <c r="AJ146">
        <v>1.21134870000003</v>
      </c>
      <c r="AK146" t="s">
        <v>49</v>
      </c>
      <c r="AO146" t="s">
        <v>50</v>
      </c>
      <c r="AP146">
        <v>1</v>
      </c>
      <c r="AQ146" t="s">
        <v>51</v>
      </c>
      <c r="AR146" t="s">
        <v>52</v>
      </c>
      <c r="AT146" t="s">
        <v>53</v>
      </c>
      <c r="AU146">
        <v>60.047942277100802</v>
      </c>
      <c r="AV146" t="s">
        <v>54</v>
      </c>
    </row>
    <row r="147" spans="1:48" x14ac:dyDescent="0.35">
      <c r="A147">
        <v>988874</v>
      </c>
      <c r="B147" t="s">
        <v>57</v>
      </c>
      <c r="C147">
        <v>1</v>
      </c>
      <c r="D147">
        <v>144</v>
      </c>
      <c r="E147">
        <v>144</v>
      </c>
      <c r="F147">
        <v>0</v>
      </c>
      <c r="G147" t="s">
        <v>58</v>
      </c>
      <c r="H147">
        <v>0.71137999999996204</v>
      </c>
      <c r="I147" t="s">
        <v>49</v>
      </c>
      <c r="J147">
        <v>0</v>
      </c>
      <c r="K147">
        <v>144</v>
      </c>
      <c r="L147">
        <v>144</v>
      </c>
      <c r="M147">
        <v>18</v>
      </c>
      <c r="N147">
        <v>743.97705829999995</v>
      </c>
      <c r="W147">
        <v>0</v>
      </c>
      <c r="X147">
        <v>0</v>
      </c>
      <c r="Y147">
        <v>743.97284689999901</v>
      </c>
      <c r="Z147">
        <v>743.97705829999995</v>
      </c>
      <c r="AA147">
        <v>744.97165659999996</v>
      </c>
      <c r="AB147">
        <v>744.98859219999997</v>
      </c>
      <c r="AC147">
        <v>745.97085679999998</v>
      </c>
      <c r="AD147">
        <v>745.97085679999998</v>
      </c>
      <c r="AE147">
        <v>747.47137849999899</v>
      </c>
      <c r="AF147">
        <v>747.47137849999899</v>
      </c>
      <c r="AG147">
        <v>747.47137849999899</v>
      </c>
      <c r="AH147">
        <v>748.18926590000001</v>
      </c>
      <c r="AI147" t="s">
        <v>58</v>
      </c>
      <c r="AJ147">
        <v>0.71137999999996204</v>
      </c>
      <c r="AK147" t="s">
        <v>49</v>
      </c>
      <c r="AO147" t="s">
        <v>50</v>
      </c>
      <c r="AP147">
        <v>1</v>
      </c>
      <c r="AQ147" t="s">
        <v>51</v>
      </c>
      <c r="AR147" t="s">
        <v>52</v>
      </c>
      <c r="AT147" t="s">
        <v>53</v>
      </c>
      <c r="AU147">
        <v>60.047942277100802</v>
      </c>
      <c r="AV147" t="s">
        <v>54</v>
      </c>
    </row>
    <row r="148" spans="1:48" x14ac:dyDescent="0.35">
      <c r="A148">
        <v>500938</v>
      </c>
      <c r="B148" t="s">
        <v>57</v>
      </c>
      <c r="C148">
        <v>2</v>
      </c>
      <c r="D148">
        <v>145</v>
      </c>
      <c r="E148">
        <v>145</v>
      </c>
      <c r="F148">
        <v>0</v>
      </c>
      <c r="G148" t="s">
        <v>58</v>
      </c>
      <c r="H148">
        <v>0.57633690000011395</v>
      </c>
      <c r="I148" t="s">
        <v>49</v>
      </c>
      <c r="J148">
        <v>0</v>
      </c>
      <c r="K148">
        <v>145</v>
      </c>
      <c r="L148">
        <v>145</v>
      </c>
      <c r="M148">
        <v>132</v>
      </c>
      <c r="N148">
        <v>748.25295919999905</v>
      </c>
      <c r="W148">
        <v>1</v>
      </c>
      <c r="X148">
        <v>10</v>
      </c>
      <c r="Y148">
        <v>748.24920199999997</v>
      </c>
      <c r="Z148">
        <v>748.25295919999905</v>
      </c>
      <c r="AA148">
        <v>749.20430509999903</v>
      </c>
      <c r="AB148">
        <v>749.25436209999998</v>
      </c>
      <c r="AC148">
        <v>750.20436519999998</v>
      </c>
      <c r="AD148">
        <v>750.20436519999998</v>
      </c>
      <c r="AE148">
        <v>751.70450879999999</v>
      </c>
      <c r="AF148">
        <v>751.70450879999999</v>
      </c>
      <c r="AG148">
        <v>751.70450879999999</v>
      </c>
      <c r="AH148">
        <v>752.28881179999905</v>
      </c>
      <c r="AI148" t="s">
        <v>58</v>
      </c>
      <c r="AJ148">
        <v>0.57633690000011395</v>
      </c>
      <c r="AK148" t="s">
        <v>49</v>
      </c>
      <c r="AO148" t="s">
        <v>50</v>
      </c>
      <c r="AP148">
        <v>1</v>
      </c>
      <c r="AQ148" t="s">
        <v>51</v>
      </c>
      <c r="AR148" t="s">
        <v>52</v>
      </c>
      <c r="AT148" t="s">
        <v>53</v>
      </c>
      <c r="AU148">
        <v>60.047942277100802</v>
      </c>
      <c r="AV148" t="s">
        <v>54</v>
      </c>
    </row>
    <row r="149" spans="1:48" x14ac:dyDescent="0.35">
      <c r="A149">
        <v>195155</v>
      </c>
      <c r="B149" t="s">
        <v>55</v>
      </c>
      <c r="C149">
        <v>1</v>
      </c>
      <c r="D149">
        <v>146</v>
      </c>
      <c r="E149">
        <v>146</v>
      </c>
      <c r="F149">
        <v>0</v>
      </c>
      <c r="G149" t="s">
        <v>56</v>
      </c>
      <c r="H149">
        <v>0.948645100000021</v>
      </c>
      <c r="I149" t="s">
        <v>49</v>
      </c>
      <c r="J149">
        <v>0</v>
      </c>
      <c r="K149">
        <v>146</v>
      </c>
      <c r="L149">
        <v>146</v>
      </c>
      <c r="M149">
        <v>72</v>
      </c>
      <c r="N149">
        <v>752.37989270000003</v>
      </c>
      <c r="W149">
        <v>1</v>
      </c>
      <c r="X149">
        <v>10</v>
      </c>
      <c r="Y149">
        <v>752.37446</v>
      </c>
      <c r="Z149">
        <v>752.37989270000003</v>
      </c>
      <c r="AA149">
        <v>753.30441879999898</v>
      </c>
      <c r="AB149">
        <v>753.38760989999901</v>
      </c>
      <c r="AC149">
        <v>754.30493759999899</v>
      </c>
      <c r="AD149">
        <v>754.30493759999899</v>
      </c>
      <c r="AE149">
        <v>755.80443130000003</v>
      </c>
      <c r="AF149">
        <v>755.80443130000003</v>
      </c>
      <c r="AG149">
        <v>755.80443130000003</v>
      </c>
      <c r="AH149">
        <v>756.75490799999898</v>
      </c>
      <c r="AI149" t="s">
        <v>56</v>
      </c>
      <c r="AJ149">
        <v>0.948645100000021</v>
      </c>
      <c r="AK149" t="s">
        <v>49</v>
      </c>
      <c r="AO149" t="s">
        <v>50</v>
      </c>
      <c r="AP149">
        <v>1</v>
      </c>
      <c r="AQ149" t="s">
        <v>51</v>
      </c>
      <c r="AR149" t="s">
        <v>52</v>
      </c>
      <c r="AT149" t="s">
        <v>53</v>
      </c>
      <c r="AU149">
        <v>60.047942277100802</v>
      </c>
      <c r="AV149" t="s">
        <v>54</v>
      </c>
    </row>
    <row r="150" spans="1:48" x14ac:dyDescent="0.35">
      <c r="A150">
        <v>299252</v>
      </c>
      <c r="B150" t="s">
        <v>55</v>
      </c>
      <c r="C150">
        <v>5</v>
      </c>
      <c r="D150">
        <v>147</v>
      </c>
      <c r="E150">
        <v>147</v>
      </c>
      <c r="F150">
        <v>0</v>
      </c>
      <c r="G150" t="s">
        <v>56</v>
      </c>
      <c r="H150">
        <v>1.12684120000017</v>
      </c>
      <c r="I150" t="s">
        <v>49</v>
      </c>
      <c r="J150">
        <v>0</v>
      </c>
      <c r="K150">
        <v>147</v>
      </c>
      <c r="L150">
        <v>147</v>
      </c>
      <c r="M150">
        <v>119</v>
      </c>
      <c r="N150">
        <v>756.83266269999899</v>
      </c>
      <c r="W150">
        <v>1</v>
      </c>
      <c r="X150">
        <v>10</v>
      </c>
      <c r="Y150">
        <v>756.82903039999997</v>
      </c>
      <c r="Z150">
        <v>756.83266269999899</v>
      </c>
      <c r="AA150">
        <v>757.77072899999905</v>
      </c>
      <c r="AB150">
        <v>757.83760819999998</v>
      </c>
      <c r="AC150">
        <v>758.77088649999996</v>
      </c>
      <c r="AD150">
        <v>758.75419479999903</v>
      </c>
      <c r="AE150">
        <v>760.25428639999996</v>
      </c>
      <c r="AF150">
        <v>760.27083849999894</v>
      </c>
      <c r="AG150">
        <v>760.27083849999894</v>
      </c>
      <c r="AH150">
        <v>761.40525660000003</v>
      </c>
      <c r="AI150" t="s">
        <v>56</v>
      </c>
      <c r="AJ150">
        <v>1.12684120000017</v>
      </c>
      <c r="AK150" t="s">
        <v>49</v>
      </c>
      <c r="AO150" t="s">
        <v>50</v>
      </c>
      <c r="AP150">
        <v>1</v>
      </c>
      <c r="AQ150" t="s">
        <v>51</v>
      </c>
      <c r="AR150" t="s">
        <v>52</v>
      </c>
      <c r="AT150" t="s">
        <v>53</v>
      </c>
      <c r="AU150">
        <v>60.047942277100802</v>
      </c>
      <c r="AV150" t="s">
        <v>54</v>
      </c>
    </row>
    <row r="151" spans="1:48" x14ac:dyDescent="0.35">
      <c r="A151">
        <v>207165</v>
      </c>
      <c r="B151" t="s">
        <v>57</v>
      </c>
      <c r="C151">
        <v>3</v>
      </c>
      <c r="D151">
        <v>148</v>
      </c>
      <c r="E151">
        <v>148</v>
      </c>
      <c r="F151">
        <v>0</v>
      </c>
      <c r="G151" t="s">
        <v>58</v>
      </c>
      <c r="H151">
        <v>0.82248739999999998</v>
      </c>
      <c r="I151" t="s">
        <v>49</v>
      </c>
      <c r="J151">
        <v>0</v>
      </c>
      <c r="K151">
        <v>148</v>
      </c>
      <c r="L151">
        <v>148</v>
      </c>
      <c r="M151">
        <v>61</v>
      </c>
      <c r="N151">
        <v>761.46445059999996</v>
      </c>
      <c r="W151">
        <v>1</v>
      </c>
      <c r="X151">
        <v>10</v>
      </c>
      <c r="Y151">
        <v>761.46055279999996</v>
      </c>
      <c r="Z151">
        <v>761.46445059999996</v>
      </c>
      <c r="AA151">
        <v>762.40458899999999</v>
      </c>
      <c r="AB151">
        <v>762.47076449999895</v>
      </c>
      <c r="AC151">
        <v>763.40409869999905</v>
      </c>
      <c r="AD151">
        <v>763.42058580000003</v>
      </c>
      <c r="AE151">
        <v>764.92060999999899</v>
      </c>
      <c r="AF151">
        <v>764.92060999999899</v>
      </c>
      <c r="AG151">
        <v>764.92060999999899</v>
      </c>
      <c r="AH151">
        <v>765.754857299999</v>
      </c>
      <c r="AI151" t="s">
        <v>58</v>
      </c>
      <c r="AJ151">
        <v>0.82248739999999998</v>
      </c>
      <c r="AK151" t="s">
        <v>49</v>
      </c>
      <c r="AO151" t="s">
        <v>50</v>
      </c>
      <c r="AP151">
        <v>1</v>
      </c>
      <c r="AQ151" t="s">
        <v>51</v>
      </c>
      <c r="AR151" t="s">
        <v>52</v>
      </c>
      <c r="AT151" t="s">
        <v>53</v>
      </c>
      <c r="AU151">
        <v>60.047942277100802</v>
      </c>
      <c r="AV151" t="s">
        <v>54</v>
      </c>
    </row>
    <row r="152" spans="1:48" x14ac:dyDescent="0.35">
      <c r="A152">
        <v>414041</v>
      </c>
      <c r="B152" t="s">
        <v>55</v>
      </c>
      <c r="C152">
        <v>0</v>
      </c>
      <c r="D152">
        <v>149</v>
      </c>
      <c r="E152">
        <v>149</v>
      </c>
      <c r="F152">
        <v>0</v>
      </c>
      <c r="G152" t="s">
        <v>56</v>
      </c>
      <c r="H152">
        <v>0.88647649999984401</v>
      </c>
      <c r="I152" t="s">
        <v>49</v>
      </c>
      <c r="J152">
        <v>0</v>
      </c>
      <c r="K152">
        <v>149</v>
      </c>
      <c r="L152">
        <v>149</v>
      </c>
      <c r="M152">
        <v>19</v>
      </c>
      <c r="N152">
        <v>765.82550659999902</v>
      </c>
      <c r="W152">
        <v>1</v>
      </c>
      <c r="X152">
        <v>10</v>
      </c>
      <c r="Y152">
        <v>765.82202979999897</v>
      </c>
      <c r="Z152">
        <v>765.82550659999902</v>
      </c>
      <c r="AA152">
        <v>766.75392909999903</v>
      </c>
      <c r="AB152">
        <v>766.83731239999997</v>
      </c>
      <c r="AC152">
        <v>767.75387819999901</v>
      </c>
      <c r="AD152">
        <v>767.75387819999901</v>
      </c>
      <c r="AE152">
        <v>769.25403159999996</v>
      </c>
      <c r="AF152">
        <v>769.25403159999996</v>
      </c>
      <c r="AG152">
        <v>769.25403159999996</v>
      </c>
      <c r="AH152">
        <v>770.15546180000001</v>
      </c>
      <c r="AI152" t="s">
        <v>56</v>
      </c>
      <c r="AJ152">
        <v>0.88647649999984401</v>
      </c>
      <c r="AK152" t="s">
        <v>49</v>
      </c>
      <c r="AO152" t="s">
        <v>50</v>
      </c>
      <c r="AP152">
        <v>1</v>
      </c>
      <c r="AQ152" t="s">
        <v>51</v>
      </c>
      <c r="AR152" t="s">
        <v>52</v>
      </c>
      <c r="AT152" t="s">
        <v>53</v>
      </c>
      <c r="AU152">
        <v>60.047942277100802</v>
      </c>
      <c r="AV152" t="s">
        <v>54</v>
      </c>
    </row>
    <row r="153" spans="1:48" x14ac:dyDescent="0.35">
      <c r="AL153">
        <v>770.15595740000003</v>
      </c>
      <c r="AM153">
        <v>770.17212959999904</v>
      </c>
      <c r="AN153">
        <v>772.17126189999999</v>
      </c>
      <c r="AO153" t="s">
        <v>50</v>
      </c>
      <c r="AP153">
        <v>1</v>
      </c>
      <c r="AQ153" t="s">
        <v>51</v>
      </c>
      <c r="AR153" t="s">
        <v>52</v>
      </c>
      <c r="AT153" t="s">
        <v>53</v>
      </c>
      <c r="AU153">
        <v>60.047942277100802</v>
      </c>
      <c r="AV153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2F703-F3A5-44EA-A403-407CDDBF45AC}">
  <dimension ref="A1:L151"/>
  <sheetViews>
    <sheetView tabSelected="1" topLeftCell="A2" zoomScale="85" zoomScaleNormal="85" workbookViewId="0">
      <selection activeCell="O13" sqref="O13"/>
    </sheetView>
  </sheetViews>
  <sheetFormatPr defaultRowHeight="14.5" x14ac:dyDescent="0.35"/>
  <cols>
    <col min="1" max="1" width="10.7265625" bestFit="1" customWidth="1"/>
    <col min="3" max="3" width="9.7265625" bestFit="1" customWidth="1"/>
    <col min="4" max="4" width="17.7265625" bestFit="1" customWidth="1"/>
    <col min="5" max="5" width="15.26953125" bestFit="1" customWidth="1"/>
    <col min="6" max="6" width="15.81640625" bestFit="1" customWidth="1"/>
    <col min="8" max="8" width="15.81640625" bestFit="1" customWidth="1"/>
    <col min="12" max="12" width="12.7265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22</v>
      </c>
    </row>
    <row r="2" spans="1:12" x14ac:dyDescent="0.35">
      <c r="A2">
        <v>549708</v>
      </c>
      <c r="B2" t="s">
        <v>57</v>
      </c>
      <c r="C2">
        <v>2</v>
      </c>
      <c r="D2" t="s">
        <v>58</v>
      </c>
      <c r="E2">
        <v>0.82433150000002797</v>
      </c>
      <c r="F2">
        <v>0</v>
      </c>
    </row>
    <row r="3" spans="1:12" x14ac:dyDescent="0.35">
      <c r="A3">
        <v>408071</v>
      </c>
      <c r="B3" t="s">
        <v>57</v>
      </c>
      <c r="C3">
        <v>5</v>
      </c>
      <c r="D3" t="s">
        <v>58</v>
      </c>
      <c r="E3">
        <v>0.93922759999998096</v>
      </c>
      <c r="F3">
        <v>0</v>
      </c>
    </row>
    <row r="4" spans="1:12" x14ac:dyDescent="0.35">
      <c r="A4">
        <v>811320</v>
      </c>
      <c r="B4" t="s">
        <v>57</v>
      </c>
      <c r="C4">
        <v>6</v>
      </c>
      <c r="D4" t="s">
        <v>58</v>
      </c>
      <c r="E4">
        <v>0.71028590000003</v>
      </c>
      <c r="F4">
        <v>0</v>
      </c>
    </row>
    <row r="5" spans="1:12" x14ac:dyDescent="0.35">
      <c r="A5">
        <v>548461</v>
      </c>
      <c r="B5" t="s">
        <v>57</v>
      </c>
      <c r="C5">
        <v>9</v>
      </c>
      <c r="D5" t="s">
        <v>58</v>
      </c>
      <c r="E5">
        <v>0.96549780000003604</v>
      </c>
      <c r="F5">
        <v>0</v>
      </c>
      <c r="I5" t="s">
        <v>55</v>
      </c>
      <c r="J5" t="s">
        <v>57</v>
      </c>
      <c r="L5" t="s">
        <v>61</v>
      </c>
    </row>
    <row r="6" spans="1:12" x14ac:dyDescent="0.35">
      <c r="A6">
        <v>334713</v>
      </c>
      <c r="B6" t="s">
        <v>57</v>
      </c>
      <c r="C6">
        <v>8</v>
      </c>
      <c r="D6" t="s">
        <v>58</v>
      </c>
      <c r="E6">
        <v>0.74802019999998404</v>
      </c>
      <c r="F6">
        <v>0</v>
      </c>
      <c r="H6" t="s">
        <v>59</v>
      </c>
      <c r="I6">
        <f>AVERAGE(E117:E123,E125:E131,E133:E134,E136,E139:E140,E143:E144,E146,E148:E151)</f>
        <v>1.0171034384615263</v>
      </c>
      <c r="J6">
        <f>AVERAGE(E42:E52,E54:E57,E59:E77)</f>
        <v>1.6604282352941149</v>
      </c>
      <c r="L6">
        <f>AVERAGE(I6:J6)</f>
        <v>1.3387658368778206</v>
      </c>
    </row>
    <row r="7" spans="1:12" x14ac:dyDescent="0.35">
      <c r="A7">
        <v>998332</v>
      </c>
      <c r="B7" t="s">
        <v>57</v>
      </c>
      <c r="C7">
        <v>4</v>
      </c>
      <c r="D7" t="s">
        <v>58</v>
      </c>
      <c r="E7">
        <v>0.96534029999997895</v>
      </c>
      <c r="F7">
        <v>0</v>
      </c>
      <c r="H7" t="s">
        <v>60</v>
      </c>
      <c r="I7">
        <f>AVERAGE(E108:E111,E101,E96,E93,E79:E89,E116)</f>
        <v>1.1327432999999947</v>
      </c>
      <c r="J7">
        <f>AVERAGE(E2:E11,E13:E41)</f>
        <v>1.7151979871794987</v>
      </c>
      <c r="L7">
        <f>AVERAGE(I7:J7)</f>
        <v>1.4239706435897466</v>
      </c>
    </row>
    <row r="8" spans="1:12" x14ac:dyDescent="0.35">
      <c r="A8">
        <v>809379</v>
      </c>
      <c r="B8" t="s">
        <v>57</v>
      </c>
      <c r="C8">
        <v>2</v>
      </c>
      <c r="D8" t="s">
        <v>58</v>
      </c>
      <c r="E8">
        <v>0.78387979999996504</v>
      </c>
      <c r="F8">
        <v>0</v>
      </c>
    </row>
    <row r="9" spans="1:12" x14ac:dyDescent="0.35">
      <c r="A9">
        <v>379254</v>
      </c>
      <c r="B9" t="s">
        <v>57</v>
      </c>
      <c r="C9">
        <v>1</v>
      </c>
      <c r="D9" t="s">
        <v>58</v>
      </c>
      <c r="E9">
        <v>0.75210649999996804</v>
      </c>
      <c r="F9">
        <v>0</v>
      </c>
    </row>
    <row r="10" spans="1:12" x14ac:dyDescent="0.35">
      <c r="A10">
        <v>374959</v>
      </c>
      <c r="B10" t="s">
        <v>57</v>
      </c>
      <c r="C10">
        <v>5</v>
      </c>
      <c r="D10" t="s">
        <v>58</v>
      </c>
      <c r="E10">
        <v>0.70224739999997599</v>
      </c>
      <c r="F10">
        <v>0</v>
      </c>
    </row>
    <row r="11" spans="1:12" x14ac:dyDescent="0.35">
      <c r="A11">
        <v>474672</v>
      </c>
      <c r="B11" t="s">
        <v>57</v>
      </c>
      <c r="C11">
        <v>8</v>
      </c>
      <c r="D11" t="s">
        <v>58</v>
      </c>
      <c r="E11">
        <v>0.68650579999996297</v>
      </c>
      <c r="F11">
        <v>0</v>
      </c>
    </row>
    <row r="12" spans="1:12" s="1" customFormat="1" x14ac:dyDescent="0.35">
      <c r="A12" s="1">
        <v>521060</v>
      </c>
      <c r="B12" s="1" t="s">
        <v>57</v>
      </c>
      <c r="C12" s="1">
        <v>9</v>
      </c>
      <c r="D12" s="1" t="s">
        <v>56</v>
      </c>
      <c r="E12" s="1">
        <v>0.66897549999998696</v>
      </c>
      <c r="F12" s="1">
        <v>0</v>
      </c>
    </row>
    <row r="13" spans="1:12" x14ac:dyDescent="0.35">
      <c r="A13">
        <v>849594</v>
      </c>
      <c r="B13" t="s">
        <v>57</v>
      </c>
      <c r="C13">
        <v>7</v>
      </c>
      <c r="D13" t="s">
        <v>58</v>
      </c>
      <c r="E13">
        <v>0.73977080000008699</v>
      </c>
      <c r="F13">
        <v>0</v>
      </c>
    </row>
    <row r="14" spans="1:12" x14ac:dyDescent="0.35">
      <c r="A14">
        <v>675502</v>
      </c>
      <c r="B14" t="s">
        <v>57</v>
      </c>
      <c r="C14">
        <v>1</v>
      </c>
      <c r="D14" t="s">
        <v>58</v>
      </c>
      <c r="E14">
        <v>0.78788710000003404</v>
      </c>
      <c r="F14">
        <v>0</v>
      </c>
    </row>
    <row r="15" spans="1:12" x14ac:dyDescent="0.35">
      <c r="A15">
        <v>862476</v>
      </c>
      <c r="B15" t="s">
        <v>57</v>
      </c>
      <c r="C15">
        <v>3</v>
      </c>
      <c r="D15" t="s">
        <v>58</v>
      </c>
      <c r="E15">
        <v>0.77714320000006798</v>
      </c>
      <c r="F15">
        <v>0</v>
      </c>
    </row>
    <row r="16" spans="1:12" x14ac:dyDescent="0.35">
      <c r="A16">
        <v>749664</v>
      </c>
      <c r="B16" t="s">
        <v>57</v>
      </c>
      <c r="C16">
        <v>8</v>
      </c>
      <c r="D16" t="s">
        <v>58</v>
      </c>
      <c r="E16">
        <v>0.78497750000008104</v>
      </c>
      <c r="F16">
        <v>0</v>
      </c>
    </row>
    <row r="17" spans="1:6" x14ac:dyDescent="0.35">
      <c r="A17">
        <v>623841</v>
      </c>
      <c r="B17" t="s">
        <v>57</v>
      </c>
      <c r="C17">
        <v>0</v>
      </c>
      <c r="D17" t="s">
        <v>58</v>
      </c>
      <c r="E17">
        <v>5.9693877000000803</v>
      </c>
      <c r="F17">
        <v>0</v>
      </c>
    </row>
    <row r="18" spans="1:6" x14ac:dyDescent="0.35">
      <c r="A18">
        <v>449682</v>
      </c>
      <c r="B18" t="s">
        <v>57</v>
      </c>
      <c r="C18">
        <v>3</v>
      </c>
      <c r="D18" t="s">
        <v>58</v>
      </c>
      <c r="E18">
        <v>2.79363599999999</v>
      </c>
      <c r="F18">
        <v>0</v>
      </c>
    </row>
    <row r="19" spans="1:6" x14ac:dyDescent="0.35">
      <c r="A19">
        <v>646675</v>
      </c>
      <c r="B19" t="s">
        <v>57</v>
      </c>
      <c r="C19">
        <v>3</v>
      </c>
      <c r="D19" t="s">
        <v>58</v>
      </c>
      <c r="E19">
        <v>0.76407300000005296</v>
      </c>
      <c r="F19">
        <v>0</v>
      </c>
    </row>
    <row r="20" spans="1:6" x14ac:dyDescent="0.35">
      <c r="A20">
        <v>153225</v>
      </c>
      <c r="B20" t="s">
        <v>57</v>
      </c>
      <c r="C20">
        <v>6</v>
      </c>
      <c r="D20" t="s">
        <v>58</v>
      </c>
      <c r="E20">
        <v>0.53539989999990201</v>
      </c>
      <c r="F20">
        <v>0</v>
      </c>
    </row>
    <row r="21" spans="1:6" x14ac:dyDescent="0.35">
      <c r="A21">
        <v>374563</v>
      </c>
      <c r="B21" t="s">
        <v>57</v>
      </c>
      <c r="C21">
        <v>7</v>
      </c>
      <c r="D21" t="s">
        <v>58</v>
      </c>
      <c r="E21">
        <v>3.9282765999999998</v>
      </c>
      <c r="F21">
        <v>0</v>
      </c>
    </row>
    <row r="22" spans="1:6" x14ac:dyDescent="0.35">
      <c r="A22">
        <v>553693</v>
      </c>
      <c r="B22" t="s">
        <v>57</v>
      </c>
      <c r="C22">
        <v>2</v>
      </c>
      <c r="D22" t="s">
        <v>58</v>
      </c>
      <c r="E22">
        <v>2.4788817000001</v>
      </c>
      <c r="F22">
        <v>0</v>
      </c>
    </row>
    <row r="23" spans="1:6" x14ac:dyDescent="0.35">
      <c r="A23">
        <v>429725</v>
      </c>
      <c r="B23" t="s">
        <v>57</v>
      </c>
      <c r="C23">
        <v>2</v>
      </c>
      <c r="D23" t="s">
        <v>58</v>
      </c>
      <c r="E23">
        <v>0.89461950000008905</v>
      </c>
      <c r="F23">
        <v>0</v>
      </c>
    </row>
    <row r="24" spans="1:6" x14ac:dyDescent="0.35">
      <c r="A24">
        <v>523388</v>
      </c>
      <c r="B24" t="s">
        <v>57</v>
      </c>
      <c r="C24">
        <v>7</v>
      </c>
      <c r="D24" t="s">
        <v>58</v>
      </c>
      <c r="E24">
        <v>0.88322809999999596</v>
      </c>
      <c r="F24">
        <v>0</v>
      </c>
    </row>
    <row r="25" spans="1:6" x14ac:dyDescent="0.35">
      <c r="A25">
        <v>887954</v>
      </c>
      <c r="B25" t="s">
        <v>57</v>
      </c>
      <c r="C25">
        <v>6</v>
      </c>
      <c r="D25" t="s">
        <v>58</v>
      </c>
      <c r="E25">
        <v>0.930437999999981</v>
      </c>
      <c r="F25">
        <v>0</v>
      </c>
    </row>
    <row r="26" spans="1:6" x14ac:dyDescent="0.35">
      <c r="A26">
        <v>397112</v>
      </c>
      <c r="B26" t="s">
        <v>57</v>
      </c>
      <c r="C26">
        <v>5</v>
      </c>
      <c r="D26" t="s">
        <v>58</v>
      </c>
      <c r="E26">
        <v>2.2140984000000099</v>
      </c>
      <c r="F26">
        <v>0</v>
      </c>
    </row>
    <row r="27" spans="1:6" x14ac:dyDescent="0.35">
      <c r="A27">
        <v>912745</v>
      </c>
      <c r="B27" t="s">
        <v>57</v>
      </c>
      <c r="C27">
        <v>1</v>
      </c>
      <c r="D27" t="s">
        <v>58</v>
      </c>
      <c r="E27">
        <v>2.0744987000000399</v>
      </c>
      <c r="F27">
        <v>0</v>
      </c>
    </row>
    <row r="28" spans="1:6" x14ac:dyDescent="0.35">
      <c r="A28">
        <v>246676</v>
      </c>
      <c r="B28" t="s">
        <v>57</v>
      </c>
      <c r="C28">
        <v>2</v>
      </c>
      <c r="D28" t="s">
        <v>58</v>
      </c>
      <c r="E28">
        <v>1.3654388999999501</v>
      </c>
      <c r="F28">
        <v>0</v>
      </c>
    </row>
    <row r="29" spans="1:6" x14ac:dyDescent="0.35">
      <c r="A29">
        <v>915538</v>
      </c>
      <c r="B29" t="s">
        <v>57</v>
      </c>
      <c r="C29">
        <v>0</v>
      </c>
      <c r="D29" t="s">
        <v>58</v>
      </c>
      <c r="E29">
        <v>0.66962490000003005</v>
      </c>
      <c r="F29">
        <v>0</v>
      </c>
    </row>
    <row r="30" spans="1:6" x14ac:dyDescent="0.35">
      <c r="A30">
        <v>179723</v>
      </c>
      <c r="B30" t="s">
        <v>57</v>
      </c>
      <c r="C30">
        <v>3</v>
      </c>
      <c r="D30" t="s">
        <v>58</v>
      </c>
      <c r="E30">
        <v>2.69852600000001</v>
      </c>
      <c r="F30">
        <v>0</v>
      </c>
    </row>
    <row r="31" spans="1:6" x14ac:dyDescent="0.35">
      <c r="A31">
        <v>561304</v>
      </c>
      <c r="B31" t="s">
        <v>57</v>
      </c>
      <c r="C31">
        <v>7</v>
      </c>
      <c r="D31" t="s">
        <v>58</v>
      </c>
      <c r="E31">
        <v>0.66534070000000101</v>
      </c>
      <c r="F31">
        <v>0</v>
      </c>
    </row>
    <row r="32" spans="1:6" x14ac:dyDescent="0.35">
      <c r="A32">
        <v>192034</v>
      </c>
      <c r="B32" t="s">
        <v>57</v>
      </c>
      <c r="C32">
        <v>8</v>
      </c>
      <c r="D32" t="s">
        <v>58</v>
      </c>
      <c r="E32">
        <v>0.73101919999999099</v>
      </c>
      <c r="F32">
        <v>0</v>
      </c>
    </row>
    <row r="33" spans="1:6" x14ac:dyDescent="0.35">
      <c r="A33">
        <v>897517</v>
      </c>
      <c r="B33" t="s">
        <v>57</v>
      </c>
      <c r="C33">
        <v>4</v>
      </c>
      <c r="D33" t="s">
        <v>58</v>
      </c>
      <c r="E33">
        <v>0.67634450000002699</v>
      </c>
      <c r="F33">
        <v>0</v>
      </c>
    </row>
    <row r="34" spans="1:6" x14ac:dyDescent="0.35">
      <c r="A34">
        <v>789812</v>
      </c>
      <c r="B34" t="s">
        <v>57</v>
      </c>
      <c r="C34">
        <v>4</v>
      </c>
      <c r="D34" t="s">
        <v>58</v>
      </c>
      <c r="E34">
        <v>0.58483269999999199</v>
      </c>
      <c r="F34">
        <v>0</v>
      </c>
    </row>
    <row r="35" spans="1:6" x14ac:dyDescent="0.35">
      <c r="A35">
        <v>889855</v>
      </c>
      <c r="B35" t="s">
        <v>57</v>
      </c>
      <c r="C35">
        <v>0</v>
      </c>
      <c r="D35" t="s">
        <v>58</v>
      </c>
      <c r="E35">
        <v>3.3422567000000001</v>
      </c>
      <c r="F35">
        <v>0</v>
      </c>
    </row>
    <row r="36" spans="1:6" x14ac:dyDescent="0.35">
      <c r="A36">
        <v>603723</v>
      </c>
      <c r="B36" t="s">
        <v>57</v>
      </c>
      <c r="C36">
        <v>9</v>
      </c>
      <c r="D36" t="s">
        <v>58</v>
      </c>
      <c r="E36">
        <v>14.410443900000001</v>
      </c>
      <c r="F36">
        <v>0</v>
      </c>
    </row>
    <row r="37" spans="1:6" x14ac:dyDescent="0.35">
      <c r="A37">
        <v>623498</v>
      </c>
      <c r="B37" t="s">
        <v>57</v>
      </c>
      <c r="C37">
        <v>1</v>
      </c>
      <c r="D37" t="s">
        <v>58</v>
      </c>
      <c r="E37">
        <v>1.35082820000002</v>
      </c>
      <c r="F37">
        <v>0</v>
      </c>
    </row>
    <row r="38" spans="1:6" x14ac:dyDescent="0.35">
      <c r="A38">
        <v>664413</v>
      </c>
      <c r="B38" t="s">
        <v>57</v>
      </c>
      <c r="C38">
        <v>5</v>
      </c>
      <c r="D38" t="s">
        <v>58</v>
      </c>
      <c r="E38">
        <v>0.69222630000001495</v>
      </c>
      <c r="F38">
        <v>0</v>
      </c>
    </row>
    <row r="39" spans="1:6" x14ac:dyDescent="0.35">
      <c r="A39">
        <v>652768</v>
      </c>
      <c r="B39" t="s">
        <v>57</v>
      </c>
      <c r="C39">
        <v>4</v>
      </c>
      <c r="D39" t="s">
        <v>58</v>
      </c>
      <c r="E39">
        <v>2.95495119999998</v>
      </c>
      <c r="F39">
        <v>0</v>
      </c>
    </row>
    <row r="40" spans="1:6" x14ac:dyDescent="0.35">
      <c r="A40">
        <v>335076</v>
      </c>
      <c r="B40" t="s">
        <v>57</v>
      </c>
      <c r="C40">
        <v>2</v>
      </c>
      <c r="D40" t="s">
        <v>58</v>
      </c>
      <c r="E40">
        <v>1.4057493000000201</v>
      </c>
      <c r="F40">
        <v>0</v>
      </c>
    </row>
    <row r="41" spans="1:6" x14ac:dyDescent="0.35">
      <c r="A41">
        <v>988874</v>
      </c>
      <c r="B41" t="s">
        <v>57</v>
      </c>
      <c r="C41">
        <v>1</v>
      </c>
      <c r="D41" t="s">
        <v>58</v>
      </c>
      <c r="E41">
        <v>0.71137999999996204</v>
      </c>
      <c r="F41">
        <v>0</v>
      </c>
    </row>
    <row r="42" spans="1:6" x14ac:dyDescent="0.35">
      <c r="A42">
        <v>160262</v>
      </c>
      <c r="B42" t="s">
        <v>57</v>
      </c>
      <c r="C42">
        <v>3</v>
      </c>
      <c r="D42" t="s">
        <v>58</v>
      </c>
      <c r="E42">
        <v>1.1985999999999899</v>
      </c>
      <c r="F42">
        <v>1</v>
      </c>
    </row>
    <row r="43" spans="1:6" x14ac:dyDescent="0.35">
      <c r="A43">
        <v>222073</v>
      </c>
      <c r="B43" t="s">
        <v>57</v>
      </c>
      <c r="C43">
        <v>8</v>
      </c>
      <c r="D43" t="s">
        <v>58</v>
      </c>
      <c r="E43">
        <v>1.0280557000000301</v>
      </c>
      <c r="F43">
        <v>1</v>
      </c>
    </row>
    <row r="44" spans="1:6" x14ac:dyDescent="0.35">
      <c r="A44">
        <v>877082</v>
      </c>
      <c r="B44" t="s">
        <v>57</v>
      </c>
      <c r="C44">
        <v>6</v>
      </c>
      <c r="D44" t="s">
        <v>58</v>
      </c>
      <c r="E44">
        <v>0.97744169999998498</v>
      </c>
      <c r="F44">
        <v>1</v>
      </c>
    </row>
    <row r="45" spans="1:6" x14ac:dyDescent="0.35">
      <c r="A45">
        <v>932240</v>
      </c>
      <c r="B45" t="s">
        <v>57</v>
      </c>
      <c r="C45">
        <v>8</v>
      </c>
      <c r="D45" t="s">
        <v>58</v>
      </c>
      <c r="E45">
        <v>0.84113930000000803</v>
      </c>
      <c r="F45">
        <v>1</v>
      </c>
    </row>
    <row r="46" spans="1:6" x14ac:dyDescent="0.35">
      <c r="A46">
        <v>198663</v>
      </c>
      <c r="B46" t="s">
        <v>57</v>
      </c>
      <c r="C46">
        <v>4</v>
      </c>
      <c r="D46" t="s">
        <v>58</v>
      </c>
      <c r="E46">
        <v>0.90832269999998505</v>
      </c>
      <c r="F46">
        <v>1</v>
      </c>
    </row>
    <row r="47" spans="1:6" x14ac:dyDescent="0.35">
      <c r="A47">
        <v>825570</v>
      </c>
      <c r="B47" t="s">
        <v>57</v>
      </c>
      <c r="C47">
        <v>3</v>
      </c>
      <c r="D47" t="s">
        <v>58</v>
      </c>
      <c r="E47">
        <v>0.66786639999997899</v>
      </c>
      <c r="F47">
        <v>1</v>
      </c>
    </row>
    <row r="48" spans="1:6" x14ac:dyDescent="0.35">
      <c r="A48">
        <v>107622</v>
      </c>
      <c r="B48" t="s">
        <v>57</v>
      </c>
      <c r="C48">
        <v>5</v>
      </c>
      <c r="D48" t="s">
        <v>58</v>
      </c>
      <c r="E48">
        <v>0.82033039999998802</v>
      </c>
      <c r="F48">
        <v>1</v>
      </c>
    </row>
    <row r="49" spans="1:6" x14ac:dyDescent="0.35">
      <c r="A49">
        <v>472853</v>
      </c>
      <c r="B49" t="s">
        <v>57</v>
      </c>
      <c r="C49">
        <v>1</v>
      </c>
      <c r="D49" t="s">
        <v>58</v>
      </c>
      <c r="E49">
        <v>0.75127830000002405</v>
      </c>
      <c r="F49">
        <v>1</v>
      </c>
    </row>
    <row r="50" spans="1:6" x14ac:dyDescent="0.35">
      <c r="A50">
        <v>522283</v>
      </c>
      <c r="B50" t="s">
        <v>57</v>
      </c>
      <c r="C50">
        <v>6</v>
      </c>
      <c r="D50" t="s">
        <v>58</v>
      </c>
      <c r="E50">
        <v>0.67437370000004604</v>
      </c>
      <c r="F50">
        <v>1</v>
      </c>
    </row>
    <row r="51" spans="1:6" x14ac:dyDescent="0.35">
      <c r="A51">
        <v>703770</v>
      </c>
      <c r="B51" t="s">
        <v>57</v>
      </c>
      <c r="C51">
        <v>9</v>
      </c>
      <c r="D51" t="s">
        <v>58</v>
      </c>
      <c r="E51">
        <v>0.609780199999988</v>
      </c>
      <c r="F51">
        <v>1</v>
      </c>
    </row>
    <row r="52" spans="1:6" x14ac:dyDescent="0.35">
      <c r="A52">
        <v>823136</v>
      </c>
      <c r="B52" t="s">
        <v>57</v>
      </c>
      <c r="C52">
        <v>4</v>
      </c>
      <c r="D52" t="s">
        <v>58</v>
      </c>
      <c r="E52">
        <v>0.62317899999999304</v>
      </c>
      <c r="F52">
        <v>1</v>
      </c>
    </row>
    <row r="53" spans="1:6" s="1" customFormat="1" x14ac:dyDescent="0.35">
      <c r="A53" s="1">
        <v>197206</v>
      </c>
      <c r="B53" s="1" t="s">
        <v>57</v>
      </c>
      <c r="C53" s="1">
        <v>2</v>
      </c>
      <c r="D53" s="1" t="s">
        <v>56</v>
      </c>
      <c r="E53" s="1">
        <v>0.94663770000005298</v>
      </c>
      <c r="F53" s="1">
        <v>1</v>
      </c>
    </row>
    <row r="54" spans="1:6" x14ac:dyDescent="0.35">
      <c r="A54">
        <v>878636</v>
      </c>
      <c r="B54" t="s">
        <v>57</v>
      </c>
      <c r="C54">
        <v>0</v>
      </c>
      <c r="D54" t="s">
        <v>58</v>
      </c>
      <c r="E54">
        <v>0.89257809999997995</v>
      </c>
      <c r="F54">
        <v>1</v>
      </c>
    </row>
    <row r="55" spans="1:6" x14ac:dyDescent="0.35">
      <c r="A55">
        <v>200559</v>
      </c>
      <c r="B55" t="s">
        <v>57</v>
      </c>
      <c r="C55">
        <v>7</v>
      </c>
      <c r="D55" t="s">
        <v>58</v>
      </c>
      <c r="E55">
        <v>1.02447069999999</v>
      </c>
      <c r="F55">
        <v>1</v>
      </c>
    </row>
    <row r="56" spans="1:6" x14ac:dyDescent="0.35">
      <c r="A56">
        <v>952814</v>
      </c>
      <c r="B56" t="s">
        <v>57</v>
      </c>
      <c r="C56">
        <v>6</v>
      </c>
      <c r="D56" t="s">
        <v>58</v>
      </c>
      <c r="E56">
        <v>0.69838120000008497</v>
      </c>
      <c r="F56">
        <v>1</v>
      </c>
    </row>
    <row r="57" spans="1:6" x14ac:dyDescent="0.35">
      <c r="A57">
        <v>656612</v>
      </c>
      <c r="B57" t="s">
        <v>57</v>
      </c>
      <c r="C57">
        <v>4</v>
      </c>
      <c r="D57" t="s">
        <v>58</v>
      </c>
      <c r="E57">
        <v>0.78036640000004798</v>
      </c>
      <c r="F57">
        <v>1</v>
      </c>
    </row>
    <row r="58" spans="1:6" s="1" customFormat="1" x14ac:dyDescent="0.35">
      <c r="A58" s="1">
        <v>566908</v>
      </c>
      <c r="B58" s="1" t="s">
        <v>57</v>
      </c>
      <c r="C58" s="1">
        <v>0</v>
      </c>
      <c r="D58" s="1" t="s">
        <v>56</v>
      </c>
      <c r="E58" s="1">
        <v>1.12972359999992</v>
      </c>
      <c r="F58" s="1">
        <v>1</v>
      </c>
    </row>
    <row r="59" spans="1:6" x14ac:dyDescent="0.35">
      <c r="A59">
        <v>943478</v>
      </c>
      <c r="B59" t="s">
        <v>57</v>
      </c>
      <c r="C59">
        <v>2</v>
      </c>
      <c r="D59" t="s">
        <v>58</v>
      </c>
      <c r="E59">
        <v>1.0356687999999299</v>
      </c>
      <c r="F59">
        <v>1</v>
      </c>
    </row>
    <row r="60" spans="1:6" x14ac:dyDescent="0.35">
      <c r="A60">
        <v>914382</v>
      </c>
      <c r="B60" t="s">
        <v>57</v>
      </c>
      <c r="C60">
        <v>7</v>
      </c>
      <c r="D60" t="s">
        <v>58</v>
      </c>
      <c r="E60">
        <v>0.95109889999991903</v>
      </c>
      <c r="F60">
        <v>1</v>
      </c>
    </row>
    <row r="61" spans="1:6" x14ac:dyDescent="0.35">
      <c r="A61">
        <v>699969</v>
      </c>
      <c r="B61" t="s">
        <v>57</v>
      </c>
      <c r="C61">
        <v>7</v>
      </c>
      <c r="D61" t="s">
        <v>58</v>
      </c>
      <c r="E61">
        <v>1.01135199999998</v>
      </c>
      <c r="F61">
        <v>1</v>
      </c>
    </row>
    <row r="62" spans="1:6" x14ac:dyDescent="0.35">
      <c r="A62">
        <v>706714</v>
      </c>
      <c r="B62" t="s">
        <v>57</v>
      </c>
      <c r="C62">
        <v>3</v>
      </c>
      <c r="D62" t="s">
        <v>58</v>
      </c>
      <c r="E62">
        <v>0.59518229999991901</v>
      </c>
      <c r="F62">
        <v>1</v>
      </c>
    </row>
    <row r="63" spans="1:6" x14ac:dyDescent="0.35">
      <c r="A63">
        <v>220092</v>
      </c>
      <c r="B63" t="s">
        <v>57</v>
      </c>
      <c r="C63">
        <v>7</v>
      </c>
      <c r="D63" t="s">
        <v>58</v>
      </c>
      <c r="E63">
        <v>1.8997173999999799</v>
      </c>
      <c r="F63">
        <v>1</v>
      </c>
    </row>
    <row r="64" spans="1:6" x14ac:dyDescent="0.35">
      <c r="A64">
        <v>397099</v>
      </c>
      <c r="B64" t="s">
        <v>57</v>
      </c>
      <c r="C64">
        <v>1</v>
      </c>
      <c r="D64" t="s">
        <v>58</v>
      </c>
      <c r="E64">
        <v>2.42989969999996</v>
      </c>
      <c r="F64">
        <v>1</v>
      </c>
    </row>
    <row r="65" spans="1:6" x14ac:dyDescent="0.35">
      <c r="A65">
        <v>821020</v>
      </c>
      <c r="B65" t="s">
        <v>57</v>
      </c>
      <c r="C65">
        <v>9</v>
      </c>
      <c r="D65" t="s">
        <v>58</v>
      </c>
      <c r="E65">
        <v>0.80373629999996798</v>
      </c>
      <c r="F65">
        <v>1</v>
      </c>
    </row>
    <row r="66" spans="1:6" x14ac:dyDescent="0.35">
      <c r="A66">
        <v>662798</v>
      </c>
      <c r="B66" t="s">
        <v>57</v>
      </c>
      <c r="C66">
        <v>0</v>
      </c>
      <c r="D66" t="s">
        <v>58</v>
      </c>
      <c r="E66">
        <v>0.68335029999991503</v>
      </c>
      <c r="F66">
        <v>1</v>
      </c>
    </row>
    <row r="67" spans="1:6" x14ac:dyDescent="0.35">
      <c r="A67">
        <v>631965</v>
      </c>
      <c r="B67" t="s">
        <v>57</v>
      </c>
      <c r="C67">
        <v>2</v>
      </c>
      <c r="D67" t="s">
        <v>58</v>
      </c>
      <c r="E67">
        <v>0.70141999999998395</v>
      </c>
      <c r="F67">
        <v>1</v>
      </c>
    </row>
    <row r="68" spans="1:6" x14ac:dyDescent="0.35">
      <c r="A68">
        <v>306318</v>
      </c>
      <c r="B68" t="s">
        <v>57</v>
      </c>
      <c r="C68">
        <v>4</v>
      </c>
      <c r="D68" t="s">
        <v>58</v>
      </c>
      <c r="E68">
        <v>1.59507200000007</v>
      </c>
      <c r="F68">
        <v>1</v>
      </c>
    </row>
    <row r="69" spans="1:6" x14ac:dyDescent="0.35">
      <c r="A69">
        <v>458369</v>
      </c>
      <c r="B69" t="s">
        <v>57</v>
      </c>
      <c r="C69">
        <v>2</v>
      </c>
      <c r="D69" t="s">
        <v>58</v>
      </c>
      <c r="E69">
        <v>12.146485200000001</v>
      </c>
      <c r="F69">
        <v>1</v>
      </c>
    </row>
    <row r="70" spans="1:6" x14ac:dyDescent="0.35">
      <c r="A70">
        <v>648247</v>
      </c>
      <c r="B70" t="s">
        <v>57</v>
      </c>
      <c r="C70">
        <v>1</v>
      </c>
      <c r="D70" t="s">
        <v>58</v>
      </c>
      <c r="E70">
        <v>11.611906999999899</v>
      </c>
      <c r="F70">
        <v>1</v>
      </c>
    </row>
    <row r="71" spans="1:6" x14ac:dyDescent="0.35">
      <c r="A71">
        <v>456807</v>
      </c>
      <c r="B71" t="s">
        <v>57</v>
      </c>
      <c r="C71">
        <v>1</v>
      </c>
      <c r="D71" t="s">
        <v>58</v>
      </c>
      <c r="E71">
        <v>0.65252450000002604</v>
      </c>
      <c r="F71">
        <v>1</v>
      </c>
    </row>
    <row r="72" spans="1:6" x14ac:dyDescent="0.35">
      <c r="A72">
        <v>527591</v>
      </c>
      <c r="B72" t="s">
        <v>57</v>
      </c>
      <c r="C72">
        <v>0</v>
      </c>
      <c r="D72" t="s">
        <v>58</v>
      </c>
      <c r="E72">
        <v>1.0413733999999899</v>
      </c>
      <c r="F72">
        <v>1</v>
      </c>
    </row>
    <row r="73" spans="1:6" x14ac:dyDescent="0.35">
      <c r="A73">
        <v>716914</v>
      </c>
      <c r="B73" t="s">
        <v>57</v>
      </c>
      <c r="C73">
        <v>5</v>
      </c>
      <c r="D73" t="s">
        <v>58</v>
      </c>
      <c r="E73">
        <v>3.2038429000000401</v>
      </c>
      <c r="F73">
        <v>1</v>
      </c>
    </row>
    <row r="74" spans="1:6" x14ac:dyDescent="0.35">
      <c r="A74">
        <v>155543</v>
      </c>
      <c r="B74" t="s">
        <v>57</v>
      </c>
      <c r="C74">
        <v>8</v>
      </c>
      <c r="D74" t="s">
        <v>58</v>
      </c>
      <c r="E74">
        <v>0.98559250000005205</v>
      </c>
      <c r="F74">
        <v>1</v>
      </c>
    </row>
    <row r="75" spans="1:6" x14ac:dyDescent="0.35">
      <c r="A75">
        <v>118197</v>
      </c>
      <c r="B75" t="s">
        <v>57</v>
      </c>
      <c r="C75">
        <v>3</v>
      </c>
      <c r="D75" t="s">
        <v>58</v>
      </c>
      <c r="E75">
        <v>1.21134870000003</v>
      </c>
      <c r="F75">
        <v>1</v>
      </c>
    </row>
    <row r="76" spans="1:6" x14ac:dyDescent="0.35">
      <c r="A76">
        <v>500938</v>
      </c>
      <c r="B76" t="s">
        <v>57</v>
      </c>
      <c r="C76">
        <v>2</v>
      </c>
      <c r="D76" t="s">
        <v>58</v>
      </c>
      <c r="E76">
        <v>0.57633690000011395</v>
      </c>
      <c r="F76">
        <v>1</v>
      </c>
    </row>
    <row r="77" spans="1:6" x14ac:dyDescent="0.35">
      <c r="A77">
        <v>207165</v>
      </c>
      <c r="B77" t="s">
        <v>57</v>
      </c>
      <c r="C77">
        <v>3</v>
      </c>
      <c r="D77" t="s">
        <v>58</v>
      </c>
      <c r="E77">
        <v>0.82248739999999998</v>
      </c>
      <c r="F77">
        <v>1</v>
      </c>
    </row>
    <row r="78" spans="1:6" s="1" customFormat="1" x14ac:dyDescent="0.35">
      <c r="A78" s="1">
        <v>484574</v>
      </c>
      <c r="B78" s="1" t="s">
        <v>55</v>
      </c>
      <c r="C78" s="1">
        <v>7</v>
      </c>
      <c r="D78" s="1" t="s">
        <v>58</v>
      </c>
      <c r="E78" s="1">
        <v>2.6485808999999501</v>
      </c>
      <c r="F78" s="1">
        <v>0</v>
      </c>
    </row>
    <row r="79" spans="1:6" x14ac:dyDescent="0.35">
      <c r="A79">
        <v>268784</v>
      </c>
      <c r="B79" t="s">
        <v>55</v>
      </c>
      <c r="C79">
        <v>7</v>
      </c>
      <c r="D79" t="s">
        <v>56</v>
      </c>
      <c r="E79">
        <v>1.34267359999995</v>
      </c>
      <c r="F79">
        <v>0</v>
      </c>
    </row>
    <row r="80" spans="1:6" x14ac:dyDescent="0.35">
      <c r="A80">
        <v>111067</v>
      </c>
      <c r="B80" t="s">
        <v>55</v>
      </c>
      <c r="C80">
        <v>0</v>
      </c>
      <c r="D80" t="s">
        <v>56</v>
      </c>
      <c r="E80">
        <v>0.83557350000000896</v>
      </c>
      <c r="F80">
        <v>0</v>
      </c>
    </row>
    <row r="81" spans="1:6" x14ac:dyDescent="0.35">
      <c r="A81">
        <v>862719</v>
      </c>
      <c r="B81" t="s">
        <v>55</v>
      </c>
      <c r="C81">
        <v>9</v>
      </c>
      <c r="D81" t="s">
        <v>56</v>
      </c>
      <c r="E81">
        <v>0.90926239999998804</v>
      </c>
      <c r="F81">
        <v>0</v>
      </c>
    </row>
    <row r="82" spans="1:6" x14ac:dyDescent="0.35">
      <c r="A82">
        <v>718335</v>
      </c>
      <c r="B82" t="s">
        <v>55</v>
      </c>
      <c r="C82">
        <v>1</v>
      </c>
      <c r="D82" t="s">
        <v>56</v>
      </c>
      <c r="E82">
        <v>1.02554509999998</v>
      </c>
      <c r="F82">
        <v>0</v>
      </c>
    </row>
    <row r="83" spans="1:6" x14ac:dyDescent="0.35">
      <c r="A83">
        <v>167817</v>
      </c>
      <c r="B83" t="s">
        <v>55</v>
      </c>
      <c r="C83">
        <v>1</v>
      </c>
      <c r="D83" t="s">
        <v>56</v>
      </c>
      <c r="E83">
        <v>0.78878449999996203</v>
      </c>
      <c r="F83">
        <v>0</v>
      </c>
    </row>
    <row r="84" spans="1:6" x14ac:dyDescent="0.35">
      <c r="A84">
        <v>721903</v>
      </c>
      <c r="B84" t="s">
        <v>55</v>
      </c>
      <c r="C84">
        <v>1</v>
      </c>
      <c r="D84" t="s">
        <v>56</v>
      </c>
      <c r="E84">
        <v>1.4441785999999801</v>
      </c>
      <c r="F84">
        <v>0</v>
      </c>
    </row>
    <row r="85" spans="1:6" x14ac:dyDescent="0.35">
      <c r="A85">
        <v>512533</v>
      </c>
      <c r="B85" t="s">
        <v>55</v>
      </c>
      <c r="C85">
        <v>2</v>
      </c>
      <c r="D85" t="s">
        <v>56</v>
      </c>
      <c r="E85">
        <v>1.10347449999994</v>
      </c>
      <c r="F85">
        <v>0</v>
      </c>
    </row>
    <row r="86" spans="1:6" x14ac:dyDescent="0.35">
      <c r="A86">
        <v>279161</v>
      </c>
      <c r="B86" t="s">
        <v>55</v>
      </c>
      <c r="C86">
        <v>1</v>
      </c>
      <c r="D86" t="s">
        <v>56</v>
      </c>
      <c r="E86">
        <v>0.76314509999997404</v>
      </c>
      <c r="F86">
        <v>0</v>
      </c>
    </row>
    <row r="87" spans="1:6" x14ac:dyDescent="0.35">
      <c r="A87">
        <v>983051</v>
      </c>
      <c r="B87" t="s">
        <v>55</v>
      </c>
      <c r="C87">
        <v>9</v>
      </c>
      <c r="D87" t="s">
        <v>56</v>
      </c>
      <c r="E87">
        <v>0.75149360000000298</v>
      </c>
      <c r="F87">
        <v>0</v>
      </c>
    </row>
    <row r="88" spans="1:6" x14ac:dyDescent="0.35">
      <c r="A88">
        <v>367005</v>
      </c>
      <c r="B88" t="s">
        <v>55</v>
      </c>
      <c r="C88">
        <v>7</v>
      </c>
      <c r="D88" t="s">
        <v>56</v>
      </c>
      <c r="E88">
        <v>0.84361139999998602</v>
      </c>
      <c r="F88">
        <v>0</v>
      </c>
    </row>
    <row r="89" spans="1:6" x14ac:dyDescent="0.35">
      <c r="A89">
        <v>483280</v>
      </c>
      <c r="B89" t="s">
        <v>55</v>
      </c>
      <c r="C89">
        <v>8</v>
      </c>
      <c r="D89" t="s">
        <v>56</v>
      </c>
      <c r="E89">
        <v>0.74880330000002004</v>
      </c>
      <c r="F89">
        <v>0</v>
      </c>
    </row>
    <row r="90" spans="1:6" s="1" customFormat="1" x14ac:dyDescent="0.35">
      <c r="A90" s="1">
        <v>934003</v>
      </c>
      <c r="B90" s="1" t="s">
        <v>55</v>
      </c>
      <c r="C90" s="1">
        <v>0</v>
      </c>
      <c r="D90" s="1" t="s">
        <v>58</v>
      </c>
      <c r="E90" s="1">
        <v>2.45479179999995</v>
      </c>
      <c r="F90" s="1">
        <v>0</v>
      </c>
    </row>
    <row r="91" spans="1:6" s="1" customFormat="1" x14ac:dyDescent="0.35">
      <c r="A91" s="1">
        <v>228637</v>
      </c>
      <c r="B91" s="1" t="s">
        <v>55</v>
      </c>
      <c r="C91" s="1">
        <v>6</v>
      </c>
      <c r="D91" s="1" t="s">
        <v>58</v>
      </c>
      <c r="E91" s="1">
        <v>0.839045499999997</v>
      </c>
      <c r="F91" s="1">
        <v>0</v>
      </c>
    </row>
    <row r="92" spans="1:6" s="1" customFormat="1" x14ac:dyDescent="0.35">
      <c r="A92" s="1">
        <v>263507</v>
      </c>
      <c r="B92" s="1" t="s">
        <v>55</v>
      </c>
      <c r="C92" s="1">
        <v>0</v>
      </c>
      <c r="D92" s="1" t="s">
        <v>58</v>
      </c>
      <c r="E92" s="1">
        <v>0.983130000000073</v>
      </c>
      <c r="F92" s="1">
        <v>0</v>
      </c>
    </row>
    <row r="93" spans="1:6" x14ac:dyDescent="0.35">
      <c r="A93">
        <v>275504</v>
      </c>
      <c r="B93" t="s">
        <v>55</v>
      </c>
      <c r="C93">
        <v>5</v>
      </c>
      <c r="D93" t="s">
        <v>56</v>
      </c>
      <c r="E93">
        <v>3.14173759999994</v>
      </c>
      <c r="F93">
        <v>0</v>
      </c>
    </row>
    <row r="94" spans="1:6" s="1" customFormat="1" x14ac:dyDescent="0.35">
      <c r="A94" s="1">
        <v>333069</v>
      </c>
      <c r="B94" s="1" t="s">
        <v>55</v>
      </c>
      <c r="C94" s="1">
        <v>9</v>
      </c>
      <c r="D94" s="1" t="s">
        <v>58</v>
      </c>
      <c r="E94" s="1">
        <v>0.76034540000000495</v>
      </c>
      <c r="F94" s="1">
        <v>0</v>
      </c>
    </row>
    <row r="95" spans="1:6" s="1" customFormat="1" x14ac:dyDescent="0.35">
      <c r="A95" s="1">
        <v>217239</v>
      </c>
      <c r="B95" s="1" t="s">
        <v>55</v>
      </c>
      <c r="C95" s="1">
        <v>2</v>
      </c>
      <c r="D95" s="1" t="s">
        <v>58</v>
      </c>
      <c r="E95" s="1">
        <v>1.1102208999999399</v>
      </c>
      <c r="F95" s="1">
        <v>0</v>
      </c>
    </row>
    <row r="96" spans="1:6" x14ac:dyDescent="0.35">
      <c r="A96">
        <v>881958</v>
      </c>
      <c r="B96" t="s">
        <v>55</v>
      </c>
      <c r="C96">
        <v>8</v>
      </c>
      <c r="D96" t="s">
        <v>56</v>
      </c>
      <c r="E96">
        <v>1.2351118000000201</v>
      </c>
      <c r="F96">
        <v>0</v>
      </c>
    </row>
    <row r="97" spans="1:6" s="1" customFormat="1" x14ac:dyDescent="0.35">
      <c r="A97" s="1">
        <v>746489</v>
      </c>
      <c r="B97" s="1" t="s">
        <v>55</v>
      </c>
      <c r="C97" s="1">
        <v>7</v>
      </c>
      <c r="D97" s="1" t="s">
        <v>58</v>
      </c>
      <c r="E97" s="1">
        <v>1.3289186000000599</v>
      </c>
      <c r="F97" s="1">
        <v>0</v>
      </c>
    </row>
    <row r="98" spans="1:6" s="1" customFormat="1" x14ac:dyDescent="0.35">
      <c r="A98" s="1">
        <v>666674</v>
      </c>
      <c r="B98" s="1" t="s">
        <v>55</v>
      </c>
      <c r="C98" s="1">
        <v>4</v>
      </c>
      <c r="D98" s="1" t="s">
        <v>58</v>
      </c>
      <c r="E98" s="1">
        <v>3.5208883999999898</v>
      </c>
      <c r="F98" s="1">
        <v>0</v>
      </c>
    </row>
    <row r="99" spans="1:6" s="1" customFormat="1" x14ac:dyDescent="0.35">
      <c r="A99" s="1">
        <v>610509</v>
      </c>
      <c r="B99" s="1" t="s">
        <v>55</v>
      </c>
      <c r="C99" s="1">
        <v>6</v>
      </c>
      <c r="D99" s="1" t="s">
        <v>58</v>
      </c>
      <c r="E99" s="1">
        <v>2.1491852999999899</v>
      </c>
      <c r="F99" s="1">
        <v>0</v>
      </c>
    </row>
    <row r="100" spans="1:6" s="1" customFormat="1" x14ac:dyDescent="0.35">
      <c r="A100" s="1">
        <v>394358</v>
      </c>
      <c r="B100" s="1" t="s">
        <v>55</v>
      </c>
      <c r="C100" s="1">
        <v>4</v>
      </c>
      <c r="D100" s="1" t="s">
        <v>58</v>
      </c>
      <c r="E100" s="1">
        <v>0.93691420000004599</v>
      </c>
      <c r="F100" s="1">
        <v>0</v>
      </c>
    </row>
    <row r="101" spans="1:6" x14ac:dyDescent="0.35">
      <c r="A101">
        <v>603165</v>
      </c>
      <c r="B101" t="s">
        <v>55</v>
      </c>
      <c r="C101">
        <v>6</v>
      </c>
      <c r="D101" t="s">
        <v>56</v>
      </c>
      <c r="E101">
        <v>0.618005000000039</v>
      </c>
      <c r="F101">
        <v>0</v>
      </c>
    </row>
    <row r="102" spans="1:6" s="1" customFormat="1" x14ac:dyDescent="0.35">
      <c r="A102" s="1">
        <v>714522</v>
      </c>
      <c r="B102" s="1" t="s">
        <v>55</v>
      </c>
      <c r="C102" s="1">
        <v>0</v>
      </c>
      <c r="D102" s="1" t="s">
        <v>58</v>
      </c>
      <c r="E102" s="1">
        <v>0.59320900000000099</v>
      </c>
      <c r="F102" s="1">
        <v>0</v>
      </c>
    </row>
    <row r="103" spans="1:6" s="1" customFormat="1" x14ac:dyDescent="0.35">
      <c r="A103" s="1">
        <v>299855</v>
      </c>
      <c r="B103" s="1" t="s">
        <v>55</v>
      </c>
      <c r="C103" s="1">
        <v>5</v>
      </c>
      <c r="D103" s="1" t="s">
        <v>58</v>
      </c>
      <c r="E103" s="1">
        <v>2.1805295000000302</v>
      </c>
      <c r="F103" s="1">
        <v>0</v>
      </c>
    </row>
    <row r="104" spans="1:6" s="1" customFormat="1" x14ac:dyDescent="0.35">
      <c r="A104" s="1">
        <v>719489</v>
      </c>
      <c r="B104" s="1" t="s">
        <v>55</v>
      </c>
      <c r="C104" s="1">
        <v>7</v>
      </c>
      <c r="D104" s="1" t="s">
        <v>58</v>
      </c>
      <c r="E104" s="1">
        <v>1.76947600000005</v>
      </c>
      <c r="F104" s="1">
        <v>0</v>
      </c>
    </row>
    <row r="105" spans="1:6" s="1" customFormat="1" x14ac:dyDescent="0.35">
      <c r="A105" s="1">
        <v>268227</v>
      </c>
      <c r="B105" s="1" t="s">
        <v>55</v>
      </c>
      <c r="C105" s="1">
        <v>2</v>
      </c>
      <c r="D105" s="1" t="s">
        <v>58</v>
      </c>
      <c r="E105" s="1">
        <v>1.3246910999999899</v>
      </c>
      <c r="F105" s="1">
        <v>0</v>
      </c>
    </row>
    <row r="106" spans="1:6" s="1" customFormat="1" x14ac:dyDescent="0.35">
      <c r="A106" s="1">
        <v>787441</v>
      </c>
      <c r="B106" s="1" t="s">
        <v>55</v>
      </c>
      <c r="C106" s="1">
        <v>7</v>
      </c>
      <c r="D106" s="1" t="s">
        <v>58</v>
      </c>
      <c r="E106" s="1">
        <v>7.3138721000000197</v>
      </c>
      <c r="F106" s="1">
        <v>0</v>
      </c>
    </row>
    <row r="107" spans="1:6" s="1" customFormat="1" x14ac:dyDescent="0.35">
      <c r="A107" s="1">
        <v>740612</v>
      </c>
      <c r="B107" s="1" t="s">
        <v>55</v>
      </c>
      <c r="C107" s="1">
        <v>4</v>
      </c>
      <c r="D107" s="1" t="s">
        <v>58</v>
      </c>
      <c r="E107" s="1">
        <v>1.0175659000000199</v>
      </c>
      <c r="F107" s="1">
        <v>0</v>
      </c>
    </row>
    <row r="108" spans="1:6" x14ac:dyDescent="0.35">
      <c r="A108">
        <v>310793</v>
      </c>
      <c r="B108" t="s">
        <v>55</v>
      </c>
      <c r="C108">
        <v>1</v>
      </c>
      <c r="D108" t="s">
        <v>56</v>
      </c>
      <c r="E108">
        <v>1.80408590000001</v>
      </c>
      <c r="F108">
        <v>0</v>
      </c>
    </row>
    <row r="109" spans="1:6" x14ac:dyDescent="0.35">
      <c r="A109">
        <v>359291</v>
      </c>
      <c r="B109" t="s">
        <v>55</v>
      </c>
      <c r="C109">
        <v>3</v>
      </c>
      <c r="D109" t="s">
        <v>56</v>
      </c>
      <c r="E109">
        <v>0.77148650000003705</v>
      </c>
      <c r="F109">
        <v>0</v>
      </c>
    </row>
    <row r="110" spans="1:6" x14ac:dyDescent="0.35">
      <c r="A110">
        <v>149413</v>
      </c>
      <c r="B110" t="s">
        <v>55</v>
      </c>
      <c r="C110">
        <v>1</v>
      </c>
      <c r="D110" t="s">
        <v>56</v>
      </c>
      <c r="E110">
        <v>0.94474330000002704</v>
      </c>
      <c r="F110">
        <v>0</v>
      </c>
    </row>
    <row r="111" spans="1:6" x14ac:dyDescent="0.35">
      <c r="A111">
        <v>190685</v>
      </c>
      <c r="B111" t="s">
        <v>55</v>
      </c>
      <c r="C111">
        <v>0</v>
      </c>
      <c r="D111" t="s">
        <v>56</v>
      </c>
      <c r="E111">
        <v>1.4157741000000199</v>
      </c>
      <c r="F111">
        <v>0</v>
      </c>
    </row>
    <row r="112" spans="1:6" s="1" customFormat="1" x14ac:dyDescent="0.35">
      <c r="A112" s="1">
        <v>870847</v>
      </c>
      <c r="B112" s="1" t="s">
        <v>55</v>
      </c>
      <c r="C112" s="1">
        <v>4</v>
      </c>
      <c r="D112" s="1" t="s">
        <v>58</v>
      </c>
      <c r="E112" s="1">
        <v>5.2257541999999804</v>
      </c>
      <c r="F112" s="1">
        <v>0</v>
      </c>
    </row>
    <row r="113" spans="1:6" s="1" customFormat="1" x14ac:dyDescent="0.35">
      <c r="A113" s="1">
        <v>645214</v>
      </c>
      <c r="B113" s="1" t="s">
        <v>55</v>
      </c>
      <c r="C113" s="1">
        <v>1</v>
      </c>
      <c r="D113" s="1" t="s">
        <v>58</v>
      </c>
      <c r="E113" s="1">
        <v>1.57733970000003</v>
      </c>
      <c r="F113" s="1">
        <v>0</v>
      </c>
    </row>
    <row r="114" spans="1:6" s="1" customFormat="1" x14ac:dyDescent="0.35">
      <c r="A114" s="1">
        <v>776946</v>
      </c>
      <c r="B114" s="1" t="s">
        <v>55</v>
      </c>
      <c r="C114" s="1">
        <v>7</v>
      </c>
      <c r="D114" s="1" t="s">
        <v>58</v>
      </c>
      <c r="E114" s="1">
        <v>2.3607221999999402</v>
      </c>
      <c r="F114" s="1">
        <v>0</v>
      </c>
    </row>
    <row r="115" spans="1:6" s="1" customFormat="1" x14ac:dyDescent="0.35">
      <c r="A115" s="1">
        <v>323047</v>
      </c>
      <c r="B115" s="1" t="s">
        <v>55</v>
      </c>
      <c r="C115" s="1">
        <v>4</v>
      </c>
      <c r="D115" s="1" t="s">
        <v>58</v>
      </c>
      <c r="E115" s="1">
        <v>5.0172260000000497</v>
      </c>
      <c r="F115" s="1">
        <v>0</v>
      </c>
    </row>
    <row r="116" spans="1:6" x14ac:dyDescent="0.35">
      <c r="A116">
        <v>503171</v>
      </c>
      <c r="B116" t="s">
        <v>55</v>
      </c>
      <c r="C116">
        <v>1</v>
      </c>
      <c r="D116" t="s">
        <v>56</v>
      </c>
      <c r="E116">
        <v>1.0346329000000101</v>
      </c>
      <c r="F116">
        <v>0</v>
      </c>
    </row>
    <row r="117" spans="1:6" x14ac:dyDescent="0.35">
      <c r="A117">
        <v>810813</v>
      </c>
      <c r="B117" t="s">
        <v>55</v>
      </c>
      <c r="C117">
        <v>8</v>
      </c>
      <c r="D117" t="s">
        <v>56</v>
      </c>
      <c r="E117">
        <v>1.3412127999999901</v>
      </c>
      <c r="F117">
        <v>1</v>
      </c>
    </row>
    <row r="118" spans="1:6" x14ac:dyDescent="0.35">
      <c r="A118">
        <v>935380</v>
      </c>
      <c r="B118" t="s">
        <v>55</v>
      </c>
      <c r="C118">
        <v>0</v>
      </c>
      <c r="D118" t="s">
        <v>56</v>
      </c>
      <c r="E118">
        <v>1.25903740000001</v>
      </c>
      <c r="F118">
        <v>1</v>
      </c>
    </row>
    <row r="119" spans="1:6" x14ac:dyDescent="0.35">
      <c r="A119">
        <v>376450</v>
      </c>
      <c r="B119" t="s">
        <v>55</v>
      </c>
      <c r="C119">
        <v>0</v>
      </c>
      <c r="D119" t="s">
        <v>56</v>
      </c>
      <c r="E119">
        <v>0.95910950000001005</v>
      </c>
      <c r="F119">
        <v>1</v>
      </c>
    </row>
    <row r="120" spans="1:6" x14ac:dyDescent="0.35">
      <c r="A120">
        <v>532695</v>
      </c>
      <c r="B120" t="s">
        <v>55</v>
      </c>
      <c r="C120">
        <v>9</v>
      </c>
      <c r="D120" t="s">
        <v>56</v>
      </c>
      <c r="E120">
        <v>1.2118596000000199</v>
      </c>
      <c r="F120">
        <v>1</v>
      </c>
    </row>
    <row r="121" spans="1:6" x14ac:dyDescent="0.35">
      <c r="A121">
        <v>117161</v>
      </c>
      <c r="B121" t="s">
        <v>55</v>
      </c>
      <c r="C121">
        <v>1</v>
      </c>
      <c r="D121" t="s">
        <v>56</v>
      </c>
      <c r="E121">
        <v>0.492574400000023</v>
      </c>
      <c r="F121">
        <v>1</v>
      </c>
    </row>
    <row r="122" spans="1:6" x14ac:dyDescent="0.35">
      <c r="A122">
        <v>323280</v>
      </c>
      <c r="B122" t="s">
        <v>55</v>
      </c>
      <c r="C122">
        <v>2</v>
      </c>
      <c r="D122" t="s">
        <v>56</v>
      </c>
      <c r="E122">
        <v>0.90847420000000001</v>
      </c>
      <c r="F122">
        <v>1</v>
      </c>
    </row>
    <row r="123" spans="1:6" x14ac:dyDescent="0.35">
      <c r="A123">
        <v>205460</v>
      </c>
      <c r="B123" t="s">
        <v>55</v>
      </c>
      <c r="C123">
        <v>2</v>
      </c>
      <c r="D123" t="s">
        <v>56</v>
      </c>
      <c r="E123">
        <v>1.2064333999999799</v>
      </c>
      <c r="F123">
        <v>1</v>
      </c>
    </row>
    <row r="124" spans="1:6" s="1" customFormat="1" x14ac:dyDescent="0.35">
      <c r="A124" s="1">
        <v>305249</v>
      </c>
      <c r="B124" s="1" t="s">
        <v>55</v>
      </c>
      <c r="C124" s="1">
        <v>9</v>
      </c>
      <c r="D124" s="1" t="s">
        <v>58</v>
      </c>
      <c r="E124" s="1">
        <v>0.81237019999997495</v>
      </c>
      <c r="F124" s="1">
        <v>1</v>
      </c>
    </row>
    <row r="125" spans="1:6" x14ac:dyDescent="0.35">
      <c r="A125">
        <v>542508</v>
      </c>
      <c r="B125" t="s">
        <v>55</v>
      </c>
      <c r="C125">
        <v>0</v>
      </c>
      <c r="D125" t="s">
        <v>56</v>
      </c>
      <c r="E125">
        <v>0.98789399999998295</v>
      </c>
      <c r="F125">
        <v>1</v>
      </c>
    </row>
    <row r="126" spans="1:6" x14ac:dyDescent="0.35">
      <c r="A126">
        <v>846484</v>
      </c>
      <c r="B126" t="s">
        <v>55</v>
      </c>
      <c r="C126">
        <v>4</v>
      </c>
      <c r="D126" t="s">
        <v>56</v>
      </c>
      <c r="E126">
        <v>0.75889599999999202</v>
      </c>
      <c r="F126">
        <v>1</v>
      </c>
    </row>
    <row r="127" spans="1:6" x14ac:dyDescent="0.35">
      <c r="A127">
        <v>923442</v>
      </c>
      <c r="B127" t="s">
        <v>55</v>
      </c>
      <c r="C127">
        <v>3</v>
      </c>
      <c r="D127" t="s">
        <v>56</v>
      </c>
      <c r="E127">
        <v>1.6769700999999999</v>
      </c>
      <c r="F127">
        <v>1</v>
      </c>
    </row>
    <row r="128" spans="1:6" x14ac:dyDescent="0.35">
      <c r="A128">
        <v>548223</v>
      </c>
      <c r="B128" t="s">
        <v>55</v>
      </c>
      <c r="C128">
        <v>5</v>
      </c>
      <c r="D128" t="s">
        <v>56</v>
      </c>
      <c r="E128">
        <v>0.95685079999998301</v>
      </c>
      <c r="F128">
        <v>1</v>
      </c>
    </row>
    <row r="129" spans="1:6" x14ac:dyDescent="0.35">
      <c r="A129">
        <v>331447</v>
      </c>
      <c r="B129" t="s">
        <v>55</v>
      </c>
      <c r="C129">
        <v>4</v>
      </c>
      <c r="D129" t="s">
        <v>56</v>
      </c>
      <c r="E129">
        <v>0.81929609999997399</v>
      </c>
      <c r="F129">
        <v>1</v>
      </c>
    </row>
    <row r="130" spans="1:6" x14ac:dyDescent="0.35">
      <c r="A130">
        <v>485762</v>
      </c>
      <c r="B130" t="s">
        <v>55</v>
      </c>
      <c r="C130">
        <v>7</v>
      </c>
      <c r="D130" t="s">
        <v>56</v>
      </c>
      <c r="E130">
        <v>0.90996460000002299</v>
      </c>
      <c r="F130">
        <v>1</v>
      </c>
    </row>
    <row r="131" spans="1:6" x14ac:dyDescent="0.35">
      <c r="A131">
        <v>294906</v>
      </c>
      <c r="B131" t="s">
        <v>55</v>
      </c>
      <c r="C131">
        <v>2</v>
      </c>
      <c r="D131" t="s">
        <v>56</v>
      </c>
      <c r="E131">
        <v>0.68908600000003095</v>
      </c>
      <c r="F131">
        <v>1</v>
      </c>
    </row>
    <row r="132" spans="1:6" s="1" customFormat="1" x14ac:dyDescent="0.35">
      <c r="A132" s="1">
        <v>879045</v>
      </c>
      <c r="B132" s="1" t="s">
        <v>55</v>
      </c>
      <c r="C132" s="1">
        <v>4</v>
      </c>
      <c r="D132" s="1" t="s">
        <v>58</v>
      </c>
      <c r="E132" s="1">
        <v>1.0158263999999799</v>
      </c>
      <c r="F132" s="1">
        <v>1</v>
      </c>
    </row>
    <row r="133" spans="1:6" x14ac:dyDescent="0.35">
      <c r="A133">
        <v>164353</v>
      </c>
      <c r="B133" t="s">
        <v>55</v>
      </c>
      <c r="C133">
        <v>6</v>
      </c>
      <c r="D133" t="s">
        <v>56</v>
      </c>
      <c r="E133">
        <v>1.01458249999996</v>
      </c>
      <c r="F133">
        <v>1</v>
      </c>
    </row>
    <row r="134" spans="1:6" x14ac:dyDescent="0.35">
      <c r="A134">
        <v>295463</v>
      </c>
      <c r="B134" t="s">
        <v>55</v>
      </c>
      <c r="C134">
        <v>2</v>
      </c>
      <c r="D134" t="s">
        <v>56</v>
      </c>
      <c r="E134">
        <v>0.74851999999998498</v>
      </c>
      <c r="F134">
        <v>1</v>
      </c>
    </row>
    <row r="135" spans="1:6" s="1" customFormat="1" x14ac:dyDescent="0.35">
      <c r="A135" s="1">
        <v>337647</v>
      </c>
      <c r="B135" s="1" t="s">
        <v>55</v>
      </c>
      <c r="C135" s="1">
        <v>4</v>
      </c>
      <c r="D135" s="1" t="s">
        <v>58</v>
      </c>
      <c r="E135" s="1">
        <v>0.61023030000001199</v>
      </c>
      <c r="F135" s="1">
        <v>1</v>
      </c>
    </row>
    <row r="136" spans="1:6" x14ac:dyDescent="0.35">
      <c r="A136">
        <v>334679</v>
      </c>
      <c r="B136" t="s">
        <v>55</v>
      </c>
      <c r="C136">
        <v>3</v>
      </c>
      <c r="D136" t="s">
        <v>56</v>
      </c>
      <c r="E136">
        <v>1.4941114999999101</v>
      </c>
      <c r="F136">
        <v>1</v>
      </c>
    </row>
    <row r="137" spans="1:6" s="1" customFormat="1" x14ac:dyDescent="0.35">
      <c r="A137" s="1">
        <v>352468</v>
      </c>
      <c r="B137" s="1" t="s">
        <v>55</v>
      </c>
      <c r="C137" s="1">
        <v>4</v>
      </c>
      <c r="D137" s="1" t="s">
        <v>58</v>
      </c>
      <c r="E137" s="1">
        <v>0.901027699999986</v>
      </c>
      <c r="F137" s="1">
        <v>1</v>
      </c>
    </row>
    <row r="138" spans="1:6" s="1" customFormat="1" x14ac:dyDescent="0.35">
      <c r="A138" s="1">
        <v>192412</v>
      </c>
      <c r="B138" s="1" t="s">
        <v>55</v>
      </c>
      <c r="C138" s="1">
        <v>1</v>
      </c>
      <c r="D138" s="1" t="s">
        <v>58</v>
      </c>
      <c r="E138" s="1">
        <v>2.2996894000000299</v>
      </c>
      <c r="F138" s="1">
        <v>1</v>
      </c>
    </row>
    <row r="139" spans="1:6" x14ac:dyDescent="0.35">
      <c r="A139">
        <v>811912</v>
      </c>
      <c r="B139" t="s">
        <v>55</v>
      </c>
      <c r="C139">
        <v>2</v>
      </c>
      <c r="D139" t="s">
        <v>56</v>
      </c>
      <c r="E139">
        <v>1.06254249999994</v>
      </c>
      <c r="F139">
        <v>1</v>
      </c>
    </row>
    <row r="140" spans="1:6" x14ac:dyDescent="0.35">
      <c r="A140">
        <v>308930</v>
      </c>
      <c r="B140" t="s">
        <v>55</v>
      </c>
      <c r="C140">
        <v>8</v>
      </c>
      <c r="D140" t="s">
        <v>56</v>
      </c>
      <c r="E140">
        <v>1.1032397999999799</v>
      </c>
      <c r="F140">
        <v>1</v>
      </c>
    </row>
    <row r="141" spans="1:6" s="1" customFormat="1" x14ac:dyDescent="0.35">
      <c r="A141" s="1">
        <v>634585</v>
      </c>
      <c r="B141" s="1" t="s">
        <v>55</v>
      </c>
      <c r="C141" s="1">
        <v>3</v>
      </c>
      <c r="D141" s="1" t="s">
        <v>58</v>
      </c>
      <c r="E141" s="1">
        <v>3.76347699999996</v>
      </c>
      <c r="F141" s="1">
        <v>1</v>
      </c>
    </row>
    <row r="142" spans="1:6" s="1" customFormat="1" x14ac:dyDescent="0.35">
      <c r="A142" s="1">
        <v>593286</v>
      </c>
      <c r="B142" s="1" t="s">
        <v>55</v>
      </c>
      <c r="C142" s="1">
        <v>5</v>
      </c>
      <c r="D142" s="1" t="s">
        <v>58</v>
      </c>
      <c r="E142" s="1">
        <v>2.05339900000001</v>
      </c>
      <c r="F142" s="1">
        <v>1</v>
      </c>
    </row>
    <row r="143" spans="1:6" x14ac:dyDescent="0.35">
      <c r="A143">
        <v>571719</v>
      </c>
      <c r="B143" t="s">
        <v>55</v>
      </c>
      <c r="C143">
        <v>5</v>
      </c>
      <c r="D143" t="s">
        <v>56</v>
      </c>
      <c r="E143">
        <v>0.94945250000000603</v>
      </c>
      <c r="F143">
        <v>1</v>
      </c>
    </row>
    <row r="144" spans="1:6" x14ac:dyDescent="0.35">
      <c r="A144">
        <v>801117</v>
      </c>
      <c r="B144" t="s">
        <v>55</v>
      </c>
      <c r="C144">
        <v>0</v>
      </c>
      <c r="D144" t="s">
        <v>56</v>
      </c>
      <c r="E144">
        <v>0.87278629999991597</v>
      </c>
      <c r="F144">
        <v>1</v>
      </c>
    </row>
    <row r="145" spans="1:6" s="1" customFormat="1" x14ac:dyDescent="0.35">
      <c r="A145" s="1">
        <v>685409</v>
      </c>
      <c r="B145" s="1" t="s">
        <v>55</v>
      </c>
      <c r="C145" s="1">
        <v>5</v>
      </c>
      <c r="D145" s="1" t="s">
        <v>58</v>
      </c>
      <c r="E145" s="1">
        <v>1.2608941999999299</v>
      </c>
      <c r="F145" s="1">
        <v>1</v>
      </c>
    </row>
    <row r="146" spans="1:6" x14ac:dyDescent="0.35">
      <c r="A146">
        <v>110179</v>
      </c>
      <c r="B146" t="s">
        <v>55</v>
      </c>
      <c r="C146">
        <v>1</v>
      </c>
      <c r="D146" t="s">
        <v>56</v>
      </c>
      <c r="E146">
        <v>0.83916339999996103</v>
      </c>
      <c r="F146">
        <v>1</v>
      </c>
    </row>
    <row r="147" spans="1:6" s="1" customFormat="1" x14ac:dyDescent="0.35">
      <c r="A147" s="1">
        <v>792992</v>
      </c>
      <c r="B147" s="1" t="s">
        <v>55</v>
      </c>
      <c r="C147" s="1">
        <v>2</v>
      </c>
      <c r="D147" s="1" t="s">
        <v>58</v>
      </c>
      <c r="E147" s="1">
        <v>3.9833959000000001</v>
      </c>
      <c r="F147" s="1">
        <v>1</v>
      </c>
    </row>
    <row r="148" spans="1:6" x14ac:dyDescent="0.35">
      <c r="A148">
        <v>160740</v>
      </c>
      <c r="B148" t="s">
        <v>55</v>
      </c>
      <c r="C148">
        <v>0</v>
      </c>
      <c r="D148" t="s">
        <v>56</v>
      </c>
      <c r="E148">
        <v>1.2206691999999699</v>
      </c>
      <c r="F148">
        <v>1</v>
      </c>
    </row>
    <row r="149" spans="1:6" x14ac:dyDescent="0.35">
      <c r="A149">
        <v>195155</v>
      </c>
      <c r="B149" t="s">
        <v>55</v>
      </c>
      <c r="C149">
        <v>1</v>
      </c>
      <c r="D149" t="s">
        <v>56</v>
      </c>
      <c r="E149">
        <v>0.948645100000021</v>
      </c>
      <c r="F149">
        <v>1</v>
      </c>
    </row>
    <row r="150" spans="1:6" x14ac:dyDescent="0.35">
      <c r="A150">
        <v>299252</v>
      </c>
      <c r="B150" t="s">
        <v>55</v>
      </c>
      <c r="C150">
        <v>5</v>
      </c>
      <c r="D150" t="s">
        <v>56</v>
      </c>
      <c r="E150">
        <v>1.12684120000017</v>
      </c>
      <c r="F150">
        <v>1</v>
      </c>
    </row>
    <row r="151" spans="1:6" x14ac:dyDescent="0.35">
      <c r="A151">
        <v>414041</v>
      </c>
      <c r="B151" t="s">
        <v>55</v>
      </c>
      <c r="C151">
        <v>0</v>
      </c>
      <c r="D151" t="s">
        <v>56</v>
      </c>
      <c r="E151">
        <v>0.88647649999984401</v>
      </c>
      <c r="F151">
        <v>1</v>
      </c>
    </row>
  </sheetData>
  <sortState xmlns:xlrd2="http://schemas.microsoft.com/office/spreadsheetml/2017/richdata2" ref="A2:F154">
    <sortCondition ref="B1:B15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P1_E_Solo project_2025-11-16_22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Ritika Gilda</cp:lastModifiedBy>
  <dcterms:created xsi:type="dcterms:W3CDTF">2025-11-17T13:20:32Z</dcterms:created>
  <dcterms:modified xsi:type="dcterms:W3CDTF">2025-11-17T13:34:29Z</dcterms:modified>
</cp:coreProperties>
</file>