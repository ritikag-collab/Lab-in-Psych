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Word Priming Task\data\"/>
    </mc:Choice>
  </mc:AlternateContent>
  <xr:revisionPtr revIDLastSave="0" documentId="8_{B1636BB3-CA3B-4104-BDF6-B72DA3F37403}" xr6:coauthVersionLast="47" xr6:coauthVersionMax="47" xr10:uidLastSave="{00000000-0000-0000-0000-000000000000}"/>
  <bookViews>
    <workbookView xWindow="-110" yWindow="-110" windowWidth="19420" windowHeight="10300" activeTab="1" xr2:uid="{42CB0575-E7F7-4624-B2C8-DBD386890386}"/>
  </bookViews>
  <sheets>
    <sheet name="P4_Word Priming Task_2025-10-1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J8" i="2" s="1"/>
  <c r="J5" i="2"/>
</calcChain>
</file>

<file path=xl/sharedStrings.xml><?xml version="1.0" encoding="utf-8"?>
<sst xmlns="http://schemas.openxmlformats.org/spreadsheetml/2006/main" count="715" uniqueCount="148">
  <si>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</si>
  <si>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</si>
  <si>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</si>
  <si>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</si>
  <si>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</si>
  <si>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</si>
  <si>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</si>
  <si>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</t>
  </si>
  <si>
    <t>old_new</t>
  </si>
  <si>
    <t>test_textbox.text</t>
  </si>
  <si>
    <t>test_mouse.x</t>
  </si>
  <si>
    <t>test_mouse.y</t>
  </si>
  <si>
    <t>test_mouse.leftButton</t>
  </si>
  <si>
    <t>test_mouse.midButton</t>
  </si>
  <si>
    <t>test_mouse.rightButton</t>
  </si>
  <si>
    <t>test_mouse.time</t>
  </si>
  <si>
    <t>test_mouse.clicked_name</t>
  </si>
  <si>
    <t>trials.thisRepN</t>
  </si>
  <si>
    <t>trials.thisTrialN</t>
  </si>
  <si>
    <t>trials.thisN</t>
  </si>
  <si>
    <t>trials.thisIndex</t>
  </si>
  <si>
    <t>test_trials.thisRepN</t>
  </si>
  <si>
    <t>test_trials.thisTrialN</t>
  </si>
  <si>
    <t>test_trials.thisN</t>
  </si>
  <si>
    <t>test_trials.thisIndex</t>
  </si>
  <si>
    <t>thisRow.t</t>
  </si>
  <si>
    <t>notes</t>
  </si>
  <si>
    <t>Study_Phase.started</t>
  </si>
  <si>
    <t>StudyText.started</t>
  </si>
  <si>
    <t>Studyslider.started</t>
  </si>
  <si>
    <t>Study_Phase.stopped</t>
  </si>
  <si>
    <t>trials.Studyslider.response</t>
  </si>
  <si>
    <t>trials.Studyslider.rt</t>
  </si>
  <si>
    <t>Test_Phase.started</t>
  </si>
  <si>
    <t>TestText.started</t>
  </si>
  <si>
    <t>test_textbox.started</t>
  </si>
  <si>
    <t>submit_text.started</t>
  </si>
  <si>
    <t>test_mouse.started</t>
  </si>
  <si>
    <t>TestText.stopped</t>
  </si>
  <si>
    <t>Test_Phase.stopped</t>
  </si>
  <si>
    <t>test_trials.test_textbox.text</t>
  </si>
  <si>
    <t>test_trials.test_mouse.x</t>
  </si>
  <si>
    <t>test_trials.test_mouse.y</t>
  </si>
  <si>
    <t>test_trials.test_mouse.leftButton</t>
  </si>
  <si>
    <t>test_trials.test_mouse.midButton</t>
  </si>
  <si>
    <t>test_trials.test_mouse.rightButton</t>
  </si>
  <si>
    <t>test_trials.test_mouse.time</t>
  </si>
  <si>
    <t>test_trials.test_mouse.clicked_name</t>
  </si>
  <si>
    <t>test_textbox.stopped</t>
  </si>
  <si>
    <t>submit_text.stopped</t>
  </si>
  <si>
    <t>test_mouse.stopped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</si>
  <si>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</si>
  <si>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</si>
  <si>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</si>
  <si>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</si>
  <si>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</si>
  <si>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</si>
  <si>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</si>
  <si>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</si>
  <si>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phone</t>
  </si>
  <si>
    <t>P4</t>
  </si>
  <si>
    <t>2025-10-15_16h53.12.916</t>
  </si>
  <si>
    <t>Word Priming Task</t>
  </si>
  <si>
    <t>2025.1.1</t>
  </si>
  <si>
    <t>2025-10-15 16h53.25.889300 +0530</t>
  </si>
  <si>
    <t>cruise</t>
  </si>
  <si>
    <t>case</t>
  </si>
  <si>
    <t>marble</t>
  </si>
  <si>
    <t>board</t>
  </si>
  <si>
    <t>keys</t>
  </si>
  <si>
    <t>mouse</t>
  </si>
  <si>
    <t>poster</t>
  </si>
  <si>
    <t>book</t>
  </si>
  <si>
    <t>cushion</t>
  </si>
  <si>
    <t>laptop</t>
  </si>
  <si>
    <t>police</t>
  </si>
  <si>
    <t>chart</t>
  </si>
  <si>
    <t>pastry</t>
  </si>
  <si>
    <t>t-shirt</t>
  </si>
  <si>
    <t>bo_t_e</t>
  </si>
  <si>
    <t>bottle</t>
  </si>
  <si>
    <t>new</t>
  </si>
  <si>
    <t>[]</t>
  </si>
  <si>
    <t>c_s_io_</t>
  </si>
  <si>
    <t>old</t>
  </si>
  <si>
    <t>cus</t>
  </si>
  <si>
    <t>_ha_t</t>
  </si>
  <si>
    <t>bhatt</t>
  </si>
  <si>
    <t>ta_l_</t>
  </si>
  <si>
    <t>table</t>
  </si>
  <si>
    <t>[np.float64(-0.012962962962962963)]</t>
  </si>
  <si>
    <t>[np.float64(-0.2861111111111111)]</t>
  </si>
  <si>
    <t>[1]</t>
  </si>
  <si>
    <t>[0]</t>
  </si>
  <si>
    <t>[8.065587599994615]</t>
  </si>
  <si>
    <t>['submit_text']</t>
  </si>
  <si>
    <t>p_s_r_</t>
  </si>
  <si>
    <t>[np.float64(-0.013888888888888888)]</t>
  </si>
  <si>
    <t>[np.float64(-0.3055555555555556)]</t>
  </si>
  <si>
    <t>[5.409209499994176]</t>
  </si>
  <si>
    <t>c_s_</t>
  </si>
  <si>
    <t>[3.309823600007803]</t>
  </si>
  <si>
    <t>c_m_ra</t>
  </si>
  <si>
    <t>camera</t>
  </si>
  <si>
    <t>[3.5627054999931715]</t>
  </si>
  <si>
    <t>b_o_</t>
  </si>
  <si>
    <t>[np.float64(-0.07777777777777778)]</t>
  </si>
  <si>
    <t>[np.float64(-0.28888888888888886)]</t>
  </si>
  <si>
    <t>[4.11147859999619]</t>
  </si>
  <si>
    <t>l_pt_p</t>
  </si>
  <si>
    <t>[np.float64(-0.06851851851851852), np.float64(-0.05925925925925926)]</t>
  </si>
  <si>
    <t>[np.float64(-0.33796296296296297), np.float64(-0.31574074074074077)]</t>
  </si>
  <si>
    <t>[1, 1]</t>
  </si>
  <si>
    <t>[0, 0]</t>
  </si>
  <si>
    <t>[3.094657900001039, 4.111763199995039]</t>
  </si>
  <si>
    <t>[None, 'submit_text']</t>
  </si>
  <si>
    <t>p_st_r</t>
  </si>
  <si>
    <t>[np.float64(-0.06666666666666667)]</t>
  </si>
  <si>
    <t>[np.float64(-0.3111111111111111)]</t>
  </si>
  <si>
    <t>[3.108647300003213]</t>
  </si>
  <si>
    <t>_ho_e</t>
  </si>
  <si>
    <t>[np.float64(-0.06574074074074074)]</t>
  </si>
  <si>
    <t>[3.597104300002684]</t>
  </si>
  <si>
    <t>_ou_se</t>
  </si>
  <si>
    <t>[2.593725099999574]</t>
  </si>
  <si>
    <t>_ru_s_</t>
  </si>
  <si>
    <t>[9.509256200006348]</t>
  </si>
  <si>
    <t>k_y_</t>
  </si>
  <si>
    <t>[2.529679200000828]</t>
  </si>
  <si>
    <t>t_hi_t</t>
  </si>
  <si>
    <t>tshirt</t>
  </si>
  <si>
    <t>[2.6433014000067487]</t>
  </si>
  <si>
    <t>p_li_e</t>
  </si>
  <si>
    <t>[3.19303399999626]</t>
  </si>
  <si>
    <t>p_nc_l</t>
  </si>
  <si>
    <t>pencil</t>
  </si>
  <si>
    <t>[3.025170299995807]</t>
  </si>
  <si>
    <t>_o_rd</t>
  </si>
  <si>
    <t>t</t>
  </si>
  <si>
    <t>v_s_</t>
  </si>
  <si>
    <t>vase</t>
  </si>
  <si>
    <t>[4.709254200002761]</t>
  </si>
  <si>
    <t>_a_bl_</t>
  </si>
  <si>
    <t>[6.163245800009463]</t>
  </si>
  <si>
    <t>New</t>
  </si>
  <si>
    <t>Proportion of Hit</t>
  </si>
  <si>
    <t>Old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</si>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</sst>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1B0A-4572-4646-8D3A-1662E65A2E11}">
  <dimension ref="A1:BG36"/>
  <sheetViews>
    <sheetView topLeftCell="A21" workbookViewId="0">
      <selection activeCell="G1" sqref="G1:J36"/>
    </sheetView>
  </sheetViews>
  <sheetFormatPr defaultRowHeight="14.5" x14ac:dyDescent="0.35"/>
  <sheetData>
    <row r="1" spans="1: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5">
      <c r="A2" t="s">
        <v>59</v>
      </c>
      <c r="B2">
        <v>0</v>
      </c>
      <c r="C2">
        <v>0</v>
      </c>
      <c r="D2">
        <v>0</v>
      </c>
      <c r="E2">
        <v>1</v>
      </c>
      <c r="F2">
        <v>6.9009588999906502</v>
      </c>
      <c r="R2">
        <v>0</v>
      </c>
      <c r="S2">
        <v>0</v>
      </c>
      <c r="T2">
        <v>0</v>
      </c>
      <c r="U2">
        <v>2</v>
      </c>
      <c r="Z2">
        <v>7.4302599998190999E-2</v>
      </c>
      <c r="AB2">
        <v>5.4965499992249499E-2</v>
      </c>
      <c r="AC2">
        <v>7.4302599998190999E-2</v>
      </c>
      <c r="AD2">
        <v>7.4302599998190999E-2</v>
      </c>
      <c r="AE2">
        <v>6.9731360000005198</v>
      </c>
      <c r="AF2">
        <v>1</v>
      </c>
      <c r="AG2">
        <v>6.9009588999906502</v>
      </c>
      <c r="AZ2" t="s">
        <v>60</v>
      </c>
      <c r="BA2">
        <v>1</v>
      </c>
      <c r="BB2" t="s">
        <v>61</v>
      </c>
      <c r="BC2" t="s">
        <v>62</v>
      </c>
      <c r="BE2" t="s">
        <v>63</v>
      </c>
      <c r="BF2">
        <v>60.033090236213397</v>
      </c>
      <c r="BG2" t="s">
        <v>64</v>
      </c>
    </row>
    <row r="3" spans="1:59" x14ac:dyDescent="0.35">
      <c r="A3" t="s">
        <v>65</v>
      </c>
      <c r="B3">
        <v>1</v>
      </c>
      <c r="C3">
        <v>1</v>
      </c>
      <c r="D3">
        <v>0</v>
      </c>
      <c r="E3">
        <v>1</v>
      </c>
      <c r="F3">
        <v>2.02014439999766</v>
      </c>
      <c r="R3">
        <v>0</v>
      </c>
      <c r="S3">
        <v>1</v>
      </c>
      <c r="T3">
        <v>1</v>
      </c>
      <c r="U3">
        <v>11</v>
      </c>
      <c r="Z3">
        <v>7.0008310999983197</v>
      </c>
      <c r="AB3">
        <v>6.9864935999939899</v>
      </c>
      <c r="AC3">
        <v>7.0008310999983197</v>
      </c>
      <c r="AD3">
        <v>7.0008310999983197</v>
      </c>
      <c r="AE3">
        <v>9.0224630000011494</v>
      </c>
      <c r="AF3">
        <v>1</v>
      </c>
      <c r="AG3">
        <v>2.02014439999766</v>
      </c>
      <c r="AZ3" t="s">
        <v>60</v>
      </c>
      <c r="BA3">
        <v>1</v>
      </c>
      <c r="BB3" t="s">
        <v>61</v>
      </c>
      <c r="BC3" t="s">
        <v>62</v>
      </c>
      <c r="BE3" t="s">
        <v>63</v>
      </c>
      <c r="BF3">
        <v>60.033090236213397</v>
      </c>
      <c r="BG3" t="s">
        <v>64</v>
      </c>
    </row>
    <row r="4" spans="1:59" x14ac:dyDescent="0.35">
      <c r="A4" t="s">
        <v>66</v>
      </c>
      <c r="B4">
        <v>2</v>
      </c>
      <c r="C4">
        <v>2</v>
      </c>
      <c r="D4">
        <v>0</v>
      </c>
      <c r="E4">
        <v>1</v>
      </c>
      <c r="F4">
        <v>1.1909281000116601</v>
      </c>
      <c r="R4">
        <v>0</v>
      </c>
      <c r="S4">
        <v>2</v>
      </c>
      <c r="T4">
        <v>2</v>
      </c>
      <c r="U4">
        <v>10</v>
      </c>
      <c r="Z4">
        <v>9.0416291000001294</v>
      </c>
      <c r="AB4">
        <v>9.0312608999956794</v>
      </c>
      <c r="AC4">
        <v>9.0416291000001294</v>
      </c>
      <c r="AD4">
        <v>9.0416291000001294</v>
      </c>
      <c r="AE4">
        <v>10.239477399998499</v>
      </c>
      <c r="AF4">
        <v>1</v>
      </c>
      <c r="AG4">
        <v>1.1909281000116601</v>
      </c>
      <c r="AZ4" t="s">
        <v>60</v>
      </c>
      <c r="BA4">
        <v>1</v>
      </c>
      <c r="BB4" t="s">
        <v>61</v>
      </c>
      <c r="BC4" t="s">
        <v>62</v>
      </c>
      <c r="BE4" t="s">
        <v>63</v>
      </c>
      <c r="BF4">
        <v>60.033090236213397</v>
      </c>
      <c r="BG4" t="s">
        <v>64</v>
      </c>
    </row>
    <row r="5" spans="1:59" x14ac:dyDescent="0.35">
      <c r="A5" t="s">
        <v>67</v>
      </c>
      <c r="B5">
        <v>3</v>
      </c>
      <c r="C5">
        <v>3</v>
      </c>
      <c r="D5">
        <v>0</v>
      </c>
      <c r="E5">
        <v>1</v>
      </c>
      <c r="F5">
        <v>1.1284016999998101</v>
      </c>
      <c r="R5">
        <v>0</v>
      </c>
      <c r="S5">
        <v>3</v>
      </c>
      <c r="T5">
        <v>3</v>
      </c>
      <c r="U5">
        <v>3</v>
      </c>
      <c r="Z5">
        <v>10.2561487999919</v>
      </c>
      <c r="AB5">
        <v>10.2453508000035</v>
      </c>
      <c r="AC5">
        <v>10.2561487999919</v>
      </c>
      <c r="AD5">
        <v>10.2561487999919</v>
      </c>
      <c r="AE5">
        <v>11.387815900001399</v>
      </c>
      <c r="AF5">
        <v>1</v>
      </c>
      <c r="AG5">
        <v>1.1284016999998101</v>
      </c>
      <c r="AZ5" t="s">
        <v>60</v>
      </c>
      <c r="BA5">
        <v>1</v>
      </c>
      <c r="BB5" t="s">
        <v>61</v>
      </c>
      <c r="BC5" t="s">
        <v>62</v>
      </c>
      <c r="BE5" t="s">
        <v>63</v>
      </c>
      <c r="BF5">
        <v>60.033090236213397</v>
      </c>
      <c r="BG5" t="s">
        <v>64</v>
      </c>
    </row>
    <row r="6" spans="1:59" x14ac:dyDescent="0.35">
      <c r="A6" t="s">
        <v>68</v>
      </c>
      <c r="B6">
        <v>4</v>
      </c>
      <c r="C6">
        <v>4</v>
      </c>
      <c r="D6">
        <v>0</v>
      </c>
      <c r="E6">
        <v>1</v>
      </c>
      <c r="F6">
        <v>1.52777099999366</v>
      </c>
      <c r="R6">
        <v>0</v>
      </c>
      <c r="S6">
        <v>4</v>
      </c>
      <c r="T6">
        <v>4</v>
      </c>
      <c r="U6">
        <v>4</v>
      </c>
      <c r="Z6">
        <v>11.4041349000035</v>
      </c>
      <c r="AB6">
        <v>11.394876799997199</v>
      </c>
      <c r="AC6">
        <v>11.4041349000035</v>
      </c>
      <c r="AD6">
        <v>11.4041349000035</v>
      </c>
      <c r="AE6">
        <v>12.9384095999994</v>
      </c>
      <c r="AF6">
        <v>1</v>
      </c>
      <c r="AG6">
        <v>1.52777099999366</v>
      </c>
      <c r="AZ6" t="s">
        <v>60</v>
      </c>
      <c r="BA6">
        <v>1</v>
      </c>
      <c r="BB6" t="s">
        <v>61</v>
      </c>
      <c r="BC6" t="s">
        <v>62</v>
      </c>
      <c r="BE6" t="s">
        <v>63</v>
      </c>
      <c r="BF6">
        <v>60.033090236213397</v>
      </c>
      <c r="BG6" t="s">
        <v>64</v>
      </c>
    </row>
    <row r="7" spans="1:59" x14ac:dyDescent="0.35">
      <c r="A7" t="s">
        <v>69</v>
      </c>
      <c r="B7">
        <v>5</v>
      </c>
      <c r="C7">
        <v>5</v>
      </c>
      <c r="D7">
        <v>0</v>
      </c>
      <c r="E7">
        <v>1</v>
      </c>
      <c r="F7">
        <v>1.0914151000033501</v>
      </c>
      <c r="R7">
        <v>0</v>
      </c>
      <c r="S7">
        <v>5</v>
      </c>
      <c r="T7">
        <v>5</v>
      </c>
      <c r="U7">
        <v>13</v>
      </c>
      <c r="Z7">
        <v>12.960692099994001</v>
      </c>
      <c r="AB7">
        <v>12.9487965000007</v>
      </c>
      <c r="AC7">
        <v>12.960692099994001</v>
      </c>
      <c r="AD7">
        <v>12.960692099994001</v>
      </c>
      <c r="AE7">
        <v>14.0551699999923</v>
      </c>
      <c r="AF7">
        <v>1</v>
      </c>
      <c r="AG7">
        <v>1.0914151000033501</v>
      </c>
      <c r="AZ7" t="s">
        <v>60</v>
      </c>
      <c r="BA7">
        <v>1</v>
      </c>
      <c r="BB7" t="s">
        <v>61</v>
      </c>
      <c r="BC7" t="s">
        <v>62</v>
      </c>
      <c r="BE7" t="s">
        <v>63</v>
      </c>
      <c r="BF7">
        <v>60.033090236213397</v>
      </c>
      <c r="BG7" t="s">
        <v>64</v>
      </c>
    </row>
    <row r="8" spans="1:59" x14ac:dyDescent="0.35">
      <c r="A8" t="s">
        <v>70</v>
      </c>
      <c r="B8">
        <v>6</v>
      </c>
      <c r="C8">
        <v>6</v>
      </c>
      <c r="D8">
        <v>0</v>
      </c>
      <c r="E8">
        <v>1</v>
      </c>
      <c r="F8">
        <v>1.7302150000032199</v>
      </c>
      <c r="R8">
        <v>0</v>
      </c>
      <c r="S8">
        <v>6</v>
      </c>
      <c r="T8">
        <v>6</v>
      </c>
      <c r="U8">
        <v>8</v>
      </c>
      <c r="Z8">
        <v>14.0713883999997</v>
      </c>
      <c r="AB8">
        <v>14.0604559999919</v>
      </c>
      <c r="AC8">
        <v>14.0713883999997</v>
      </c>
      <c r="AD8">
        <v>14.0713883999997</v>
      </c>
      <c r="AE8">
        <v>15.805635500000699</v>
      </c>
      <c r="AF8">
        <v>1</v>
      </c>
      <c r="AG8">
        <v>1.7302150000032199</v>
      </c>
      <c r="AZ8" t="s">
        <v>60</v>
      </c>
      <c r="BA8">
        <v>1</v>
      </c>
      <c r="BB8" t="s">
        <v>61</v>
      </c>
      <c r="BC8" t="s">
        <v>62</v>
      </c>
      <c r="BE8" t="s">
        <v>63</v>
      </c>
      <c r="BF8">
        <v>60.033090236213397</v>
      </c>
      <c r="BG8" t="s">
        <v>64</v>
      </c>
    </row>
    <row r="9" spans="1:59" x14ac:dyDescent="0.35">
      <c r="A9" t="s">
        <v>71</v>
      </c>
      <c r="B9">
        <v>7</v>
      </c>
      <c r="C9">
        <v>7</v>
      </c>
      <c r="D9">
        <v>0</v>
      </c>
      <c r="E9">
        <v>1</v>
      </c>
      <c r="F9">
        <v>1.3456052000110501</v>
      </c>
      <c r="R9">
        <v>0</v>
      </c>
      <c r="S9">
        <v>7</v>
      </c>
      <c r="T9">
        <v>7</v>
      </c>
      <c r="U9">
        <v>14</v>
      </c>
      <c r="Z9">
        <v>15.823819600002</v>
      </c>
      <c r="AB9">
        <v>15.8122963999921</v>
      </c>
      <c r="AC9">
        <v>15.823819600002</v>
      </c>
      <c r="AD9">
        <v>15.823819600002</v>
      </c>
      <c r="AE9">
        <v>17.171674400000398</v>
      </c>
      <c r="AF9">
        <v>1</v>
      </c>
      <c r="AG9">
        <v>1.3456052000110501</v>
      </c>
      <c r="AZ9" t="s">
        <v>60</v>
      </c>
      <c r="BA9">
        <v>1</v>
      </c>
      <c r="BB9" t="s">
        <v>61</v>
      </c>
      <c r="BC9" t="s">
        <v>62</v>
      </c>
      <c r="BE9" t="s">
        <v>63</v>
      </c>
      <c r="BF9">
        <v>60.033090236213397</v>
      </c>
      <c r="BG9" t="s">
        <v>64</v>
      </c>
    </row>
    <row r="10" spans="1:59" x14ac:dyDescent="0.35">
      <c r="A10" t="s">
        <v>72</v>
      </c>
      <c r="B10">
        <v>8</v>
      </c>
      <c r="C10">
        <v>8</v>
      </c>
      <c r="D10">
        <v>0</v>
      </c>
      <c r="E10">
        <v>1</v>
      </c>
      <c r="F10">
        <v>1.7626925999938901</v>
      </c>
      <c r="R10">
        <v>0</v>
      </c>
      <c r="S10">
        <v>8</v>
      </c>
      <c r="T10">
        <v>8</v>
      </c>
      <c r="U10">
        <v>0</v>
      </c>
      <c r="Z10">
        <v>17.187099100003199</v>
      </c>
      <c r="AB10">
        <v>17.1763806999952</v>
      </c>
      <c r="AC10">
        <v>17.187099100003199</v>
      </c>
      <c r="AD10">
        <v>17.187099100003199</v>
      </c>
      <c r="AE10">
        <v>18.954706799995598</v>
      </c>
      <c r="AF10">
        <v>1</v>
      </c>
      <c r="AG10">
        <v>1.7626925999938901</v>
      </c>
      <c r="AZ10" t="s">
        <v>60</v>
      </c>
      <c r="BA10">
        <v>1</v>
      </c>
      <c r="BB10" t="s">
        <v>61</v>
      </c>
      <c r="BC10" t="s">
        <v>62</v>
      </c>
      <c r="BE10" t="s">
        <v>63</v>
      </c>
      <c r="BF10">
        <v>60.033090236213397</v>
      </c>
      <c r="BG10" t="s">
        <v>64</v>
      </c>
    </row>
    <row r="11" spans="1:59" x14ac:dyDescent="0.35">
      <c r="A11" t="s">
        <v>73</v>
      </c>
      <c r="B11">
        <v>9</v>
      </c>
      <c r="C11">
        <v>9</v>
      </c>
      <c r="D11">
        <v>0</v>
      </c>
      <c r="E11">
        <v>2.9592592592592499</v>
      </c>
      <c r="F11">
        <v>3.6472059999941799</v>
      </c>
      <c r="R11">
        <v>0</v>
      </c>
      <c r="S11">
        <v>9</v>
      </c>
      <c r="T11">
        <v>9</v>
      </c>
      <c r="U11">
        <v>1</v>
      </c>
      <c r="Z11">
        <v>18.970087199995699</v>
      </c>
      <c r="AB11">
        <v>18.959503899997799</v>
      </c>
      <c r="AC11">
        <v>18.970087199995699</v>
      </c>
      <c r="AD11">
        <v>18.970087199995699</v>
      </c>
      <c r="AE11">
        <v>22.621284099994199</v>
      </c>
      <c r="AF11">
        <v>2.9592592592592499</v>
      </c>
      <c r="AG11">
        <v>3.6472059999941799</v>
      </c>
      <c r="AZ11" t="s">
        <v>60</v>
      </c>
      <c r="BA11">
        <v>1</v>
      </c>
      <c r="BB11" t="s">
        <v>61</v>
      </c>
      <c r="BC11" t="s">
        <v>62</v>
      </c>
      <c r="BE11" t="s">
        <v>63</v>
      </c>
      <c r="BF11">
        <v>60.033090236213397</v>
      </c>
      <c r="BG11" t="s">
        <v>64</v>
      </c>
    </row>
    <row r="12" spans="1:59" x14ac:dyDescent="0.35">
      <c r="A12" t="s">
        <v>74</v>
      </c>
      <c r="B12">
        <v>10</v>
      </c>
      <c r="C12">
        <v>10</v>
      </c>
      <c r="D12">
        <v>0</v>
      </c>
      <c r="E12">
        <v>1</v>
      </c>
      <c r="F12">
        <v>2.6316224000038302</v>
      </c>
      <c r="R12">
        <v>0</v>
      </c>
      <c r="S12">
        <v>10</v>
      </c>
      <c r="T12">
        <v>10</v>
      </c>
      <c r="U12">
        <v>5</v>
      </c>
      <c r="Z12">
        <v>22.639533299996401</v>
      </c>
      <c r="AB12">
        <v>22.625407799990999</v>
      </c>
      <c r="AC12">
        <v>22.639533299996401</v>
      </c>
      <c r="AD12">
        <v>22.639533299996401</v>
      </c>
      <c r="AE12">
        <v>25.271357399993502</v>
      </c>
      <c r="AF12">
        <v>1</v>
      </c>
      <c r="AG12">
        <v>2.6316224000038302</v>
      </c>
      <c r="AZ12" t="s">
        <v>60</v>
      </c>
      <c r="BA12">
        <v>1</v>
      </c>
      <c r="BB12" t="s">
        <v>61</v>
      </c>
      <c r="BC12" t="s">
        <v>62</v>
      </c>
      <c r="BE12" t="s">
        <v>63</v>
      </c>
      <c r="BF12">
        <v>60.033090236213397</v>
      </c>
      <c r="BG12" t="s">
        <v>64</v>
      </c>
    </row>
    <row r="13" spans="1:59" x14ac:dyDescent="0.35">
      <c r="A13" t="s">
        <v>75</v>
      </c>
      <c r="B13">
        <v>11</v>
      </c>
      <c r="C13">
        <v>11</v>
      </c>
      <c r="D13">
        <v>0</v>
      </c>
      <c r="E13">
        <v>1</v>
      </c>
      <c r="F13">
        <v>1.1783366000017801</v>
      </c>
      <c r="R13">
        <v>0</v>
      </c>
      <c r="S13">
        <v>11</v>
      </c>
      <c r="T13">
        <v>11</v>
      </c>
      <c r="U13">
        <v>12</v>
      </c>
      <c r="Z13">
        <v>25.291144599992499</v>
      </c>
      <c r="AB13">
        <v>25.2775424999999</v>
      </c>
      <c r="AC13">
        <v>25.291144599992499</v>
      </c>
      <c r="AD13">
        <v>25.291144599992499</v>
      </c>
      <c r="AE13">
        <v>26.4716775999986</v>
      </c>
      <c r="AF13">
        <v>1</v>
      </c>
      <c r="AG13">
        <v>1.1783366000017801</v>
      </c>
      <c r="AZ13" t="s">
        <v>60</v>
      </c>
      <c r="BA13">
        <v>1</v>
      </c>
      <c r="BB13" t="s">
        <v>61</v>
      </c>
      <c r="BC13" t="s">
        <v>62</v>
      </c>
      <c r="BE13" t="s">
        <v>63</v>
      </c>
      <c r="BF13">
        <v>60.033090236213397</v>
      </c>
      <c r="BG13" t="s">
        <v>64</v>
      </c>
    </row>
    <row r="14" spans="1:59" x14ac:dyDescent="0.35">
      <c r="A14" t="s">
        <v>76</v>
      </c>
      <c r="B14">
        <v>12</v>
      </c>
      <c r="C14">
        <v>12</v>
      </c>
      <c r="D14">
        <v>0</v>
      </c>
      <c r="E14">
        <v>3.9666666666666601</v>
      </c>
      <c r="F14">
        <v>2.17761929999687</v>
      </c>
      <c r="R14">
        <v>0</v>
      </c>
      <c r="S14">
        <v>12</v>
      </c>
      <c r="T14">
        <v>12</v>
      </c>
      <c r="U14">
        <v>6</v>
      </c>
      <c r="Z14">
        <v>26.489046799993901</v>
      </c>
      <c r="AB14">
        <v>26.477991699997801</v>
      </c>
      <c r="AC14">
        <v>26.489046799993901</v>
      </c>
      <c r="AD14">
        <v>26.489046799993901</v>
      </c>
      <c r="AE14">
        <v>28.671483600002801</v>
      </c>
      <c r="AF14">
        <v>3.9666666666666601</v>
      </c>
      <c r="AG14">
        <v>2.17761929999687</v>
      </c>
      <c r="AZ14" t="s">
        <v>60</v>
      </c>
      <c r="BA14">
        <v>1</v>
      </c>
      <c r="BB14" t="s">
        <v>61</v>
      </c>
      <c r="BC14" t="s">
        <v>62</v>
      </c>
      <c r="BE14" t="s">
        <v>63</v>
      </c>
      <c r="BF14">
        <v>60.033090236213397</v>
      </c>
      <c r="BG14" t="s">
        <v>64</v>
      </c>
    </row>
    <row r="15" spans="1:59" x14ac:dyDescent="0.35">
      <c r="A15" t="s">
        <v>77</v>
      </c>
      <c r="B15">
        <v>13</v>
      </c>
      <c r="C15">
        <v>13</v>
      </c>
      <c r="D15">
        <v>0</v>
      </c>
      <c r="E15">
        <v>3.9814814814814801</v>
      </c>
      <c r="F15">
        <v>2.77694140000676</v>
      </c>
      <c r="R15">
        <v>0</v>
      </c>
      <c r="S15">
        <v>13</v>
      </c>
      <c r="T15">
        <v>13</v>
      </c>
      <c r="U15">
        <v>9</v>
      </c>
      <c r="Z15">
        <v>28.691599700003199</v>
      </c>
      <c r="AB15">
        <v>28.678666099993201</v>
      </c>
      <c r="AC15">
        <v>28.691599700003199</v>
      </c>
      <c r="AD15">
        <v>28.691599700003199</v>
      </c>
      <c r="AE15">
        <v>31.471361899995799</v>
      </c>
      <c r="AF15">
        <v>3.9814814814814801</v>
      </c>
      <c r="AG15">
        <v>2.77694140000676</v>
      </c>
      <c r="AZ15" t="s">
        <v>60</v>
      </c>
      <c r="BA15">
        <v>1</v>
      </c>
      <c r="BB15" t="s">
        <v>61</v>
      </c>
      <c r="BC15" t="s">
        <v>62</v>
      </c>
      <c r="BE15" t="s">
        <v>63</v>
      </c>
      <c r="BF15">
        <v>60.033090236213397</v>
      </c>
      <c r="BG15" t="s">
        <v>64</v>
      </c>
    </row>
    <row r="16" spans="1:59" x14ac:dyDescent="0.35">
      <c r="A16" t="s">
        <v>78</v>
      </c>
      <c r="B16">
        <v>14</v>
      </c>
      <c r="C16">
        <v>14</v>
      </c>
      <c r="D16">
        <v>0</v>
      </c>
      <c r="E16">
        <v>1</v>
      </c>
      <c r="F16">
        <v>2.02440490000299</v>
      </c>
      <c r="R16">
        <v>0</v>
      </c>
      <c r="S16">
        <v>14</v>
      </c>
      <c r="T16">
        <v>14</v>
      </c>
      <c r="U16">
        <v>7</v>
      </c>
      <c r="Z16">
        <v>31.491124599997399</v>
      </c>
      <c r="AB16">
        <v>31.481302000000099</v>
      </c>
      <c r="AC16">
        <v>31.491124599997399</v>
      </c>
      <c r="AD16">
        <v>31.491124599997399</v>
      </c>
      <c r="AE16">
        <v>33.521599799991201</v>
      </c>
      <c r="AF16">
        <v>1</v>
      </c>
      <c r="AG16">
        <v>2.02440490000299</v>
      </c>
      <c r="AZ16" t="s">
        <v>60</v>
      </c>
      <c r="BA16">
        <v>1</v>
      </c>
      <c r="BB16" t="s">
        <v>61</v>
      </c>
      <c r="BC16" t="s">
        <v>62</v>
      </c>
      <c r="BE16" t="s">
        <v>63</v>
      </c>
      <c r="BF16">
        <v>60.033090236213397</v>
      </c>
      <c r="BG16" t="s">
        <v>64</v>
      </c>
    </row>
    <row r="17" spans="2:59" x14ac:dyDescent="0.35">
      <c r="B17">
        <v>0</v>
      </c>
      <c r="C17">
        <v>0</v>
      </c>
      <c r="D17">
        <v>0</v>
      </c>
      <c r="G17" t="s">
        <v>79</v>
      </c>
      <c r="H17" t="s">
        <v>80</v>
      </c>
      <c r="I17" t="s">
        <v>81</v>
      </c>
      <c r="K17" t="s">
        <v>82</v>
      </c>
      <c r="L17" t="s">
        <v>82</v>
      </c>
      <c r="M17" t="s">
        <v>82</v>
      </c>
      <c r="N17" t="s">
        <v>82</v>
      </c>
      <c r="O17" t="s">
        <v>82</v>
      </c>
      <c r="P17" t="s">
        <v>82</v>
      </c>
      <c r="Q17" t="s">
        <v>82</v>
      </c>
      <c r="V17">
        <v>0</v>
      </c>
      <c r="W17">
        <v>0</v>
      </c>
      <c r="X17">
        <v>0</v>
      </c>
      <c r="Y17">
        <v>18</v>
      </c>
      <c r="Z17">
        <v>33.565362099994601</v>
      </c>
      <c r="AH17">
        <v>33.549154799999002</v>
      </c>
      <c r="AI17">
        <v>33.565362099994601</v>
      </c>
      <c r="AJ17">
        <v>33.565362099994601</v>
      </c>
      <c r="AK17">
        <v>33.565362099994601</v>
      </c>
      <c r="AL17">
        <v>2.7570500009460298E-2</v>
      </c>
      <c r="AM17">
        <v>43.536303899993001</v>
      </c>
      <c r="AN17">
        <v>43.536835499995497</v>
      </c>
      <c r="AP17" t="s">
        <v>82</v>
      </c>
      <c r="AQ17" t="s">
        <v>82</v>
      </c>
      <c r="AR17" t="s">
        <v>82</v>
      </c>
      <c r="AS17" t="s">
        <v>82</v>
      </c>
      <c r="AT17" t="s">
        <v>82</v>
      </c>
      <c r="AU17" t="s">
        <v>82</v>
      </c>
      <c r="AV17" t="s">
        <v>82</v>
      </c>
      <c r="AZ17" t="s">
        <v>60</v>
      </c>
      <c r="BA17">
        <v>1</v>
      </c>
      <c r="BB17" t="s">
        <v>61</v>
      </c>
      <c r="BC17" t="s">
        <v>62</v>
      </c>
      <c r="BE17" t="s">
        <v>63</v>
      </c>
      <c r="BF17">
        <v>60.033090236213397</v>
      </c>
      <c r="BG17" t="s">
        <v>64</v>
      </c>
    </row>
    <row r="18" spans="2:59" x14ac:dyDescent="0.35">
      <c r="B18">
        <v>1</v>
      </c>
      <c r="C18">
        <v>1</v>
      </c>
      <c r="D18">
        <v>0</v>
      </c>
      <c r="G18" t="s">
        <v>83</v>
      </c>
      <c r="H18" t="s">
        <v>73</v>
      </c>
      <c r="I18" t="s">
        <v>84</v>
      </c>
      <c r="J18" t="s">
        <v>85</v>
      </c>
      <c r="K18" t="s">
        <v>82</v>
      </c>
      <c r="L18" t="s">
        <v>82</v>
      </c>
      <c r="M18" t="s">
        <v>82</v>
      </c>
      <c r="N18" t="s">
        <v>82</v>
      </c>
      <c r="O18" t="s">
        <v>82</v>
      </c>
      <c r="P18" t="s">
        <v>82</v>
      </c>
      <c r="Q18" t="s">
        <v>82</v>
      </c>
      <c r="V18">
        <v>0</v>
      </c>
      <c r="W18">
        <v>1</v>
      </c>
      <c r="X18">
        <v>1</v>
      </c>
      <c r="Y18">
        <v>14</v>
      </c>
      <c r="Z18">
        <v>43.557213599997297</v>
      </c>
      <c r="AH18">
        <v>43.542445799990602</v>
      </c>
      <c r="AI18">
        <v>43.557213599997297</v>
      </c>
      <c r="AJ18">
        <v>43.557213599997297</v>
      </c>
      <c r="AK18">
        <v>43.557213599997297</v>
      </c>
      <c r="AL18">
        <v>2.0818600009079001E-2</v>
      </c>
      <c r="AM18">
        <v>53.536269499992997</v>
      </c>
      <c r="AN18">
        <v>53.536521599991801</v>
      </c>
      <c r="AO18" t="s">
        <v>85</v>
      </c>
      <c r="AP18" t="s">
        <v>82</v>
      </c>
      <c r="AQ18" t="s">
        <v>82</v>
      </c>
      <c r="AR18" t="s">
        <v>82</v>
      </c>
      <c r="AS18" t="s">
        <v>82</v>
      </c>
      <c r="AT18" t="s">
        <v>82</v>
      </c>
      <c r="AU18" t="s">
        <v>82</v>
      </c>
      <c r="AV18" t="s">
        <v>82</v>
      </c>
      <c r="AZ18" t="s">
        <v>60</v>
      </c>
      <c r="BA18">
        <v>1</v>
      </c>
      <c r="BB18" t="s">
        <v>61</v>
      </c>
      <c r="BC18" t="s">
        <v>62</v>
      </c>
      <c r="BE18" t="s">
        <v>63</v>
      </c>
      <c r="BF18">
        <v>60.033090236213397</v>
      </c>
      <c r="BG18" t="s">
        <v>64</v>
      </c>
    </row>
    <row r="19" spans="2:59" x14ac:dyDescent="0.35">
      <c r="B19">
        <v>2</v>
      </c>
      <c r="C19">
        <v>2</v>
      </c>
      <c r="D19">
        <v>0</v>
      </c>
      <c r="G19" t="s">
        <v>86</v>
      </c>
      <c r="H19" t="s">
        <v>76</v>
      </c>
      <c r="I19" t="s">
        <v>84</v>
      </c>
      <c r="J19" t="s">
        <v>87</v>
      </c>
      <c r="K19" t="s">
        <v>82</v>
      </c>
      <c r="L19" t="s">
        <v>82</v>
      </c>
      <c r="M19" t="s">
        <v>82</v>
      </c>
      <c r="N19" t="s">
        <v>82</v>
      </c>
      <c r="O19" t="s">
        <v>82</v>
      </c>
      <c r="P19" t="s">
        <v>82</v>
      </c>
      <c r="Q19" t="s">
        <v>82</v>
      </c>
      <c r="V19">
        <v>0</v>
      </c>
      <c r="W19">
        <v>2</v>
      </c>
      <c r="X19">
        <v>2</v>
      </c>
      <c r="Y19">
        <v>1</v>
      </c>
      <c r="Z19">
        <v>53.553061500002499</v>
      </c>
      <c r="AH19">
        <v>53.540240499991299</v>
      </c>
      <c r="AI19">
        <v>53.553061500002499</v>
      </c>
      <c r="AJ19">
        <v>53.553061500002499</v>
      </c>
      <c r="AK19">
        <v>53.553061500002499</v>
      </c>
      <c r="AL19">
        <v>1.8591000000014901E-2</v>
      </c>
      <c r="AM19">
        <v>63.536252299993002</v>
      </c>
      <c r="AN19">
        <v>63.536526800002299</v>
      </c>
      <c r="AO19" t="s">
        <v>87</v>
      </c>
      <c r="AP19" t="s">
        <v>82</v>
      </c>
      <c r="AQ19" t="s">
        <v>82</v>
      </c>
      <c r="AR19" t="s">
        <v>82</v>
      </c>
      <c r="AS19" t="s">
        <v>82</v>
      </c>
      <c r="AT19" t="s">
        <v>82</v>
      </c>
      <c r="AU19" t="s">
        <v>82</v>
      </c>
      <c r="AV19" t="s">
        <v>82</v>
      </c>
      <c r="AZ19" t="s">
        <v>60</v>
      </c>
      <c r="BA19">
        <v>1</v>
      </c>
      <c r="BB19" t="s">
        <v>61</v>
      </c>
      <c r="BC19" t="s">
        <v>62</v>
      </c>
      <c r="BE19" t="s">
        <v>63</v>
      </c>
      <c r="BF19">
        <v>60.033090236213397</v>
      </c>
      <c r="BG19" t="s">
        <v>64</v>
      </c>
    </row>
    <row r="20" spans="2:59" x14ac:dyDescent="0.35">
      <c r="B20">
        <v>3</v>
      </c>
      <c r="C20">
        <v>3</v>
      </c>
      <c r="D20">
        <v>0</v>
      </c>
      <c r="G20" t="s">
        <v>88</v>
      </c>
      <c r="H20" t="s">
        <v>89</v>
      </c>
      <c r="I20" t="s">
        <v>81</v>
      </c>
      <c r="J20" t="s">
        <v>89</v>
      </c>
      <c r="K20" t="s">
        <v>90</v>
      </c>
      <c r="L20" t="s">
        <v>91</v>
      </c>
      <c r="M20" t="s">
        <v>92</v>
      </c>
      <c r="N20" t="s">
        <v>93</v>
      </c>
      <c r="O20" t="s">
        <v>93</v>
      </c>
      <c r="P20" t="s">
        <v>94</v>
      </c>
      <c r="Q20" t="s">
        <v>95</v>
      </c>
      <c r="V20">
        <v>0</v>
      </c>
      <c r="W20">
        <v>3</v>
      </c>
      <c r="X20">
        <v>3</v>
      </c>
      <c r="Y20">
        <v>15</v>
      </c>
      <c r="Z20">
        <v>63.552630999998598</v>
      </c>
      <c r="AH20">
        <v>63.540326999995102</v>
      </c>
      <c r="AI20">
        <v>63.552630999998598</v>
      </c>
      <c r="AJ20">
        <v>63.552630999998598</v>
      </c>
      <c r="AK20">
        <v>63.552630999998598</v>
      </c>
      <c r="AL20">
        <v>1.8679200002225099E-2</v>
      </c>
      <c r="AN20">
        <v>71.606395800001295</v>
      </c>
      <c r="AO20" t="s">
        <v>89</v>
      </c>
      <c r="AP20" t="s">
        <v>90</v>
      </c>
      <c r="AQ20" t="s">
        <v>91</v>
      </c>
      <c r="AR20" t="s">
        <v>92</v>
      </c>
      <c r="AS20" t="s">
        <v>93</v>
      </c>
      <c r="AT20" t="s">
        <v>93</v>
      </c>
      <c r="AU20" t="s">
        <v>94</v>
      </c>
      <c r="AV20" t="s">
        <v>95</v>
      </c>
      <c r="AZ20" t="s">
        <v>60</v>
      </c>
      <c r="BA20">
        <v>1</v>
      </c>
      <c r="BB20" t="s">
        <v>61</v>
      </c>
      <c r="BC20" t="s">
        <v>62</v>
      </c>
      <c r="BE20" t="s">
        <v>63</v>
      </c>
      <c r="BF20">
        <v>60.033090236213397</v>
      </c>
      <c r="BG20" t="s">
        <v>64</v>
      </c>
    </row>
    <row r="21" spans="2:59" x14ac:dyDescent="0.35">
      <c r="B21">
        <v>4</v>
      </c>
      <c r="C21">
        <v>4</v>
      </c>
      <c r="D21">
        <v>0</v>
      </c>
      <c r="G21" t="s">
        <v>96</v>
      </c>
      <c r="H21" t="s">
        <v>77</v>
      </c>
      <c r="I21" t="s">
        <v>84</v>
      </c>
      <c r="J21" t="s">
        <v>77</v>
      </c>
      <c r="K21" t="s">
        <v>97</v>
      </c>
      <c r="L21" t="s">
        <v>98</v>
      </c>
      <c r="M21" t="s">
        <v>92</v>
      </c>
      <c r="N21" t="s">
        <v>93</v>
      </c>
      <c r="O21" t="s">
        <v>93</v>
      </c>
      <c r="P21" t="s">
        <v>99</v>
      </c>
      <c r="Q21" t="s">
        <v>95</v>
      </c>
      <c r="V21">
        <v>0</v>
      </c>
      <c r="W21">
        <v>4</v>
      </c>
      <c r="X21">
        <v>4</v>
      </c>
      <c r="Y21">
        <v>4</v>
      </c>
      <c r="Z21">
        <v>71.623746500001204</v>
      </c>
      <c r="AH21">
        <v>71.611854499991694</v>
      </c>
      <c r="AI21">
        <v>71.623746500001204</v>
      </c>
      <c r="AJ21">
        <v>71.623746500001204</v>
      </c>
      <c r="AK21">
        <v>71.623746500001204</v>
      </c>
      <c r="AL21">
        <v>5.2434999961405897E-3</v>
      </c>
      <c r="AN21">
        <v>77.0216158999974</v>
      </c>
      <c r="AO21" t="s">
        <v>77</v>
      </c>
      <c r="AP21" t="s">
        <v>97</v>
      </c>
      <c r="AQ21" t="s">
        <v>98</v>
      </c>
      <c r="AR21" t="s">
        <v>92</v>
      </c>
      <c r="AS21" t="s">
        <v>93</v>
      </c>
      <c r="AT21" t="s">
        <v>93</v>
      </c>
      <c r="AU21" t="s">
        <v>99</v>
      </c>
      <c r="AV21" t="s">
        <v>95</v>
      </c>
      <c r="AZ21" t="s">
        <v>60</v>
      </c>
      <c r="BA21">
        <v>1</v>
      </c>
      <c r="BB21" t="s">
        <v>61</v>
      </c>
      <c r="BC21" t="s">
        <v>62</v>
      </c>
      <c r="BE21" t="s">
        <v>63</v>
      </c>
      <c r="BF21">
        <v>60.033090236213397</v>
      </c>
      <c r="BG21" t="s">
        <v>64</v>
      </c>
    </row>
    <row r="22" spans="2:59" x14ac:dyDescent="0.35">
      <c r="B22">
        <v>5</v>
      </c>
      <c r="C22">
        <v>5</v>
      </c>
      <c r="D22">
        <v>0</v>
      </c>
      <c r="G22" t="s">
        <v>100</v>
      </c>
      <c r="H22" t="s">
        <v>66</v>
      </c>
      <c r="I22" t="s">
        <v>84</v>
      </c>
      <c r="J22" t="s">
        <v>66</v>
      </c>
      <c r="K22" t="s">
        <v>97</v>
      </c>
      <c r="L22" t="s">
        <v>98</v>
      </c>
      <c r="M22" t="s">
        <v>92</v>
      </c>
      <c r="N22" t="s">
        <v>93</v>
      </c>
      <c r="O22" t="s">
        <v>93</v>
      </c>
      <c r="P22" t="s">
        <v>101</v>
      </c>
      <c r="Q22" t="s">
        <v>95</v>
      </c>
      <c r="V22">
        <v>0</v>
      </c>
      <c r="W22">
        <v>5</v>
      </c>
      <c r="X22">
        <v>5</v>
      </c>
      <c r="Y22">
        <v>5</v>
      </c>
      <c r="Z22">
        <v>77.040032699995194</v>
      </c>
      <c r="AH22">
        <v>77.026691299994098</v>
      </c>
      <c r="AI22">
        <v>77.040032699995194</v>
      </c>
      <c r="AJ22">
        <v>77.040032699995194</v>
      </c>
      <c r="AK22">
        <v>77.040032699995194</v>
      </c>
      <c r="AL22">
        <v>4.8648000083630896E-3</v>
      </c>
      <c r="AN22">
        <v>80.337070299996398</v>
      </c>
      <c r="AO22" t="s">
        <v>66</v>
      </c>
      <c r="AP22" t="s">
        <v>97</v>
      </c>
      <c r="AQ22" t="s">
        <v>98</v>
      </c>
      <c r="AR22" t="s">
        <v>92</v>
      </c>
      <c r="AS22" t="s">
        <v>93</v>
      </c>
      <c r="AT22" t="s">
        <v>93</v>
      </c>
      <c r="AU22" t="s">
        <v>101</v>
      </c>
      <c r="AV22" t="s">
        <v>95</v>
      </c>
      <c r="AZ22" t="s">
        <v>60</v>
      </c>
      <c r="BA22">
        <v>1</v>
      </c>
      <c r="BB22" t="s">
        <v>61</v>
      </c>
      <c r="BC22" t="s">
        <v>62</v>
      </c>
      <c r="BE22" t="s">
        <v>63</v>
      </c>
      <c r="BF22">
        <v>60.033090236213397</v>
      </c>
      <c r="BG22" t="s">
        <v>64</v>
      </c>
    </row>
    <row r="23" spans="2:59" x14ac:dyDescent="0.35">
      <c r="B23">
        <v>6</v>
      </c>
      <c r="C23">
        <v>6</v>
      </c>
      <c r="D23">
        <v>0</v>
      </c>
      <c r="G23" t="s">
        <v>102</v>
      </c>
      <c r="H23" t="s">
        <v>103</v>
      </c>
      <c r="I23" t="s">
        <v>81</v>
      </c>
      <c r="J23" t="s">
        <v>103</v>
      </c>
      <c r="K23" t="s">
        <v>97</v>
      </c>
      <c r="L23" t="s">
        <v>98</v>
      </c>
      <c r="M23" t="s">
        <v>92</v>
      </c>
      <c r="N23" t="s">
        <v>93</v>
      </c>
      <c r="O23" t="s">
        <v>93</v>
      </c>
      <c r="P23" t="s">
        <v>104</v>
      </c>
      <c r="Q23" t="s">
        <v>95</v>
      </c>
      <c r="V23">
        <v>0</v>
      </c>
      <c r="W23">
        <v>6</v>
      </c>
      <c r="X23">
        <v>6</v>
      </c>
      <c r="Y23">
        <v>19</v>
      </c>
      <c r="Z23">
        <v>80.3522972999926</v>
      </c>
      <c r="AH23">
        <v>80.341047099995194</v>
      </c>
      <c r="AI23">
        <v>80.3522972999926</v>
      </c>
      <c r="AJ23">
        <v>80.3522972999926</v>
      </c>
      <c r="AK23">
        <v>80.3522972999926</v>
      </c>
      <c r="AL23">
        <v>3.8325000059558001E-3</v>
      </c>
      <c r="AN23">
        <v>83.904182800004406</v>
      </c>
      <c r="AO23" t="s">
        <v>103</v>
      </c>
      <c r="AP23" t="s">
        <v>97</v>
      </c>
      <c r="AQ23" t="s">
        <v>98</v>
      </c>
      <c r="AR23" t="s">
        <v>92</v>
      </c>
      <c r="AS23" t="s">
        <v>93</v>
      </c>
      <c r="AT23" t="s">
        <v>93</v>
      </c>
      <c r="AU23" t="s">
        <v>104</v>
      </c>
      <c r="AV23" t="s">
        <v>95</v>
      </c>
      <c r="AZ23" t="s">
        <v>60</v>
      </c>
      <c r="BA23">
        <v>1</v>
      </c>
      <c r="BB23" t="s">
        <v>61</v>
      </c>
      <c r="BC23" t="s">
        <v>62</v>
      </c>
      <c r="BE23" t="s">
        <v>63</v>
      </c>
      <c r="BF23">
        <v>60.033090236213397</v>
      </c>
      <c r="BG23" t="s">
        <v>64</v>
      </c>
    </row>
    <row r="24" spans="2:59" x14ac:dyDescent="0.35">
      <c r="B24">
        <v>7</v>
      </c>
      <c r="C24">
        <v>7</v>
      </c>
      <c r="D24">
        <v>0</v>
      </c>
      <c r="G24" t="s">
        <v>105</v>
      </c>
      <c r="H24" t="s">
        <v>72</v>
      </c>
      <c r="I24" t="s">
        <v>84</v>
      </c>
      <c r="J24" t="s">
        <v>72</v>
      </c>
      <c r="K24" t="s">
        <v>106</v>
      </c>
      <c r="L24" t="s">
        <v>107</v>
      </c>
      <c r="M24" t="s">
        <v>92</v>
      </c>
      <c r="N24" t="s">
        <v>93</v>
      </c>
      <c r="O24" t="s">
        <v>93</v>
      </c>
      <c r="P24" t="s">
        <v>108</v>
      </c>
      <c r="Q24" t="s">
        <v>95</v>
      </c>
      <c r="V24">
        <v>0</v>
      </c>
      <c r="W24">
        <v>7</v>
      </c>
      <c r="X24">
        <v>7</v>
      </c>
      <c r="Y24">
        <v>13</v>
      </c>
      <c r="Z24">
        <v>83.9208287999936</v>
      </c>
      <c r="AH24">
        <v>83.908328499994198</v>
      </c>
      <c r="AI24">
        <v>83.9208287999936</v>
      </c>
      <c r="AJ24">
        <v>83.9208287999936</v>
      </c>
      <c r="AK24">
        <v>83.9208287999936</v>
      </c>
      <c r="AL24">
        <v>3.9927000034367596E-3</v>
      </c>
      <c r="AN24">
        <v>88.020290799991898</v>
      </c>
      <c r="AO24" t="s">
        <v>72</v>
      </c>
      <c r="AP24" t="s">
        <v>106</v>
      </c>
      <c r="AQ24" t="s">
        <v>107</v>
      </c>
      <c r="AR24" t="s">
        <v>92</v>
      </c>
      <c r="AS24" t="s">
        <v>93</v>
      </c>
      <c r="AT24" t="s">
        <v>93</v>
      </c>
      <c r="AU24" t="s">
        <v>108</v>
      </c>
      <c r="AV24" t="s">
        <v>95</v>
      </c>
      <c r="AZ24" t="s">
        <v>60</v>
      </c>
      <c r="BA24">
        <v>1</v>
      </c>
      <c r="BB24" t="s">
        <v>61</v>
      </c>
      <c r="BC24" t="s">
        <v>62</v>
      </c>
      <c r="BE24" t="s">
        <v>63</v>
      </c>
      <c r="BF24">
        <v>60.033090236213397</v>
      </c>
      <c r="BG24" t="s">
        <v>64</v>
      </c>
    </row>
    <row r="25" spans="2:59" x14ac:dyDescent="0.35">
      <c r="B25">
        <v>8</v>
      </c>
      <c r="C25">
        <v>8</v>
      </c>
      <c r="D25">
        <v>0</v>
      </c>
      <c r="G25" t="s">
        <v>109</v>
      </c>
      <c r="H25" t="s">
        <v>74</v>
      </c>
      <c r="I25" t="s">
        <v>84</v>
      </c>
      <c r="J25" t="s">
        <v>74</v>
      </c>
      <c r="K25" t="s">
        <v>110</v>
      </c>
      <c r="L25" t="s">
        <v>111</v>
      </c>
      <c r="M25" t="s">
        <v>112</v>
      </c>
      <c r="N25" t="s">
        <v>113</v>
      </c>
      <c r="O25" t="s">
        <v>113</v>
      </c>
      <c r="P25" t="s">
        <v>114</v>
      </c>
      <c r="Q25" t="s">
        <v>115</v>
      </c>
      <c r="V25">
        <v>0</v>
      </c>
      <c r="W25">
        <v>8</v>
      </c>
      <c r="X25">
        <v>8</v>
      </c>
      <c r="Y25">
        <v>0</v>
      </c>
      <c r="Z25">
        <v>88.039292300003495</v>
      </c>
      <c r="AH25">
        <v>88.026132700004297</v>
      </c>
      <c r="AI25">
        <v>88.039292300003495</v>
      </c>
      <c r="AJ25">
        <v>88.039292300003495</v>
      </c>
      <c r="AK25">
        <v>88.039292300003495</v>
      </c>
      <c r="AL25">
        <v>5.6312999950023299E-3</v>
      </c>
      <c r="AN25">
        <v>92.1384973999956</v>
      </c>
      <c r="AO25" t="s">
        <v>74</v>
      </c>
      <c r="AP25" t="s">
        <v>110</v>
      </c>
      <c r="AQ25" t="s">
        <v>111</v>
      </c>
      <c r="AR25" t="s">
        <v>112</v>
      </c>
      <c r="AS25" t="s">
        <v>113</v>
      </c>
      <c r="AT25" t="s">
        <v>113</v>
      </c>
      <c r="AU25" t="s">
        <v>114</v>
      </c>
      <c r="AV25" t="s">
        <v>115</v>
      </c>
      <c r="AZ25" t="s">
        <v>60</v>
      </c>
      <c r="BA25">
        <v>1</v>
      </c>
      <c r="BB25" t="s">
        <v>61</v>
      </c>
      <c r="BC25" t="s">
        <v>62</v>
      </c>
      <c r="BE25" t="s">
        <v>63</v>
      </c>
      <c r="BF25">
        <v>60.033090236213397</v>
      </c>
      <c r="BG25" t="s">
        <v>64</v>
      </c>
    </row>
    <row r="26" spans="2:59" x14ac:dyDescent="0.35">
      <c r="B26">
        <v>9</v>
      </c>
      <c r="C26">
        <v>9</v>
      </c>
      <c r="D26">
        <v>0</v>
      </c>
      <c r="G26" t="s">
        <v>116</v>
      </c>
      <c r="H26" t="s">
        <v>71</v>
      </c>
      <c r="I26" t="s">
        <v>84</v>
      </c>
      <c r="J26" t="s">
        <v>71</v>
      </c>
      <c r="K26" t="s">
        <v>117</v>
      </c>
      <c r="L26" t="s">
        <v>118</v>
      </c>
      <c r="M26" t="s">
        <v>92</v>
      </c>
      <c r="N26" t="s">
        <v>93</v>
      </c>
      <c r="O26" t="s">
        <v>93</v>
      </c>
      <c r="P26" t="s">
        <v>119</v>
      </c>
      <c r="Q26" t="s">
        <v>95</v>
      </c>
      <c r="V26">
        <v>0</v>
      </c>
      <c r="W26">
        <v>9</v>
      </c>
      <c r="X26">
        <v>9</v>
      </c>
      <c r="Y26">
        <v>9</v>
      </c>
      <c r="Z26">
        <v>92.155481199995805</v>
      </c>
      <c r="AH26">
        <v>92.144137099996399</v>
      </c>
      <c r="AI26">
        <v>92.155481199995805</v>
      </c>
      <c r="AJ26">
        <v>92.155481199995805</v>
      </c>
      <c r="AK26">
        <v>92.155481199995805</v>
      </c>
      <c r="AL26">
        <v>5.3440000046975902E-3</v>
      </c>
      <c r="AN26">
        <v>95.253326899997703</v>
      </c>
      <c r="AO26" t="s">
        <v>71</v>
      </c>
      <c r="AP26" t="s">
        <v>117</v>
      </c>
      <c r="AQ26" t="s">
        <v>118</v>
      </c>
      <c r="AR26" t="s">
        <v>92</v>
      </c>
      <c r="AS26" t="s">
        <v>93</v>
      </c>
      <c r="AT26" t="s">
        <v>93</v>
      </c>
      <c r="AU26" t="s">
        <v>119</v>
      </c>
      <c r="AV26" t="s">
        <v>95</v>
      </c>
      <c r="AZ26" t="s">
        <v>60</v>
      </c>
      <c r="BA26">
        <v>1</v>
      </c>
      <c r="BB26" t="s">
        <v>61</v>
      </c>
      <c r="BC26" t="s">
        <v>62</v>
      </c>
      <c r="BE26" t="s">
        <v>63</v>
      </c>
      <c r="BF26">
        <v>60.033090236213397</v>
      </c>
      <c r="BG26" t="s">
        <v>64</v>
      </c>
    </row>
    <row r="27" spans="2:59" x14ac:dyDescent="0.35">
      <c r="B27">
        <v>10</v>
      </c>
      <c r="C27">
        <v>10</v>
      </c>
      <c r="D27">
        <v>0</v>
      </c>
      <c r="G27" t="s">
        <v>120</v>
      </c>
      <c r="H27" t="s">
        <v>59</v>
      </c>
      <c r="I27" t="s">
        <v>84</v>
      </c>
      <c r="J27" t="s">
        <v>59</v>
      </c>
      <c r="K27" t="s">
        <v>121</v>
      </c>
      <c r="L27" t="s">
        <v>118</v>
      </c>
      <c r="M27" t="s">
        <v>92</v>
      </c>
      <c r="N27" t="s">
        <v>93</v>
      </c>
      <c r="O27" t="s">
        <v>93</v>
      </c>
      <c r="P27" t="s">
        <v>122</v>
      </c>
      <c r="Q27" t="s">
        <v>95</v>
      </c>
      <c r="V27">
        <v>0</v>
      </c>
      <c r="W27">
        <v>10</v>
      </c>
      <c r="X27">
        <v>10</v>
      </c>
      <c r="Y27">
        <v>12</v>
      </c>
      <c r="Z27">
        <v>95.269068299996405</v>
      </c>
      <c r="AH27">
        <v>95.257527499998105</v>
      </c>
      <c r="AI27">
        <v>95.269068299996405</v>
      </c>
      <c r="AJ27">
        <v>95.269068299996405</v>
      </c>
      <c r="AK27">
        <v>95.269068299996405</v>
      </c>
      <c r="AL27">
        <v>4.0442000026814596E-3</v>
      </c>
      <c r="AN27">
        <v>98.855095399994696</v>
      </c>
      <c r="AO27" t="s">
        <v>59</v>
      </c>
      <c r="AP27" t="s">
        <v>121</v>
      </c>
      <c r="AQ27" t="s">
        <v>118</v>
      </c>
      <c r="AR27" t="s">
        <v>92</v>
      </c>
      <c r="AS27" t="s">
        <v>93</v>
      </c>
      <c r="AT27" t="s">
        <v>93</v>
      </c>
      <c r="AU27" t="s">
        <v>122</v>
      </c>
      <c r="AV27" t="s">
        <v>95</v>
      </c>
      <c r="AZ27" t="s">
        <v>60</v>
      </c>
      <c r="BA27">
        <v>1</v>
      </c>
      <c r="BB27" t="s">
        <v>61</v>
      </c>
      <c r="BC27" t="s">
        <v>62</v>
      </c>
      <c r="BE27" t="s">
        <v>63</v>
      </c>
      <c r="BF27">
        <v>60.033090236213397</v>
      </c>
      <c r="BG27" t="s">
        <v>64</v>
      </c>
    </row>
    <row r="28" spans="2:59" x14ac:dyDescent="0.35">
      <c r="B28">
        <v>11</v>
      </c>
      <c r="C28">
        <v>11</v>
      </c>
      <c r="D28">
        <v>0</v>
      </c>
      <c r="G28" t="s">
        <v>123</v>
      </c>
      <c r="H28" t="s">
        <v>70</v>
      </c>
      <c r="I28" t="s">
        <v>84</v>
      </c>
      <c r="J28" t="s">
        <v>70</v>
      </c>
      <c r="K28" t="s">
        <v>121</v>
      </c>
      <c r="L28" t="s">
        <v>118</v>
      </c>
      <c r="M28" t="s">
        <v>92</v>
      </c>
      <c r="N28" t="s">
        <v>93</v>
      </c>
      <c r="O28" t="s">
        <v>93</v>
      </c>
      <c r="P28" t="s">
        <v>124</v>
      </c>
      <c r="Q28" t="s">
        <v>95</v>
      </c>
      <c r="V28">
        <v>0</v>
      </c>
      <c r="W28">
        <v>11</v>
      </c>
      <c r="X28">
        <v>11</v>
      </c>
      <c r="Y28">
        <v>3</v>
      </c>
      <c r="Z28">
        <v>98.873086599996896</v>
      </c>
      <c r="AH28">
        <v>98.859865499994996</v>
      </c>
      <c r="AI28">
        <v>98.873086599996896</v>
      </c>
      <c r="AJ28">
        <v>98.873086599996896</v>
      </c>
      <c r="AK28">
        <v>98.873086599996896</v>
      </c>
      <c r="AL28">
        <v>4.6446000051218999E-3</v>
      </c>
      <c r="AN28">
        <v>101.454142899994</v>
      </c>
      <c r="AO28" t="s">
        <v>70</v>
      </c>
      <c r="AP28" t="s">
        <v>121</v>
      </c>
      <c r="AQ28" t="s">
        <v>118</v>
      </c>
      <c r="AR28" t="s">
        <v>92</v>
      </c>
      <c r="AS28" t="s">
        <v>93</v>
      </c>
      <c r="AT28" t="s">
        <v>93</v>
      </c>
      <c r="AU28" t="s">
        <v>124</v>
      </c>
      <c r="AV28" t="s">
        <v>95</v>
      </c>
      <c r="AZ28" t="s">
        <v>60</v>
      </c>
      <c r="BA28">
        <v>1</v>
      </c>
      <c r="BB28" t="s">
        <v>61</v>
      </c>
      <c r="BC28" t="s">
        <v>62</v>
      </c>
      <c r="BE28" t="s">
        <v>63</v>
      </c>
      <c r="BF28">
        <v>60.033090236213397</v>
      </c>
      <c r="BG28" t="s">
        <v>64</v>
      </c>
    </row>
    <row r="29" spans="2:59" x14ac:dyDescent="0.35">
      <c r="B29">
        <v>12</v>
      </c>
      <c r="C29">
        <v>12</v>
      </c>
      <c r="D29">
        <v>0</v>
      </c>
      <c r="G29" t="s">
        <v>125</v>
      </c>
      <c r="H29" t="s">
        <v>65</v>
      </c>
      <c r="I29" t="s">
        <v>84</v>
      </c>
      <c r="J29" t="s">
        <v>65</v>
      </c>
      <c r="K29" t="s">
        <v>121</v>
      </c>
      <c r="L29" t="s">
        <v>118</v>
      </c>
      <c r="M29" t="s">
        <v>92</v>
      </c>
      <c r="N29" t="s">
        <v>93</v>
      </c>
      <c r="O29" t="s">
        <v>93</v>
      </c>
      <c r="P29" t="s">
        <v>126</v>
      </c>
      <c r="Q29" t="s">
        <v>95</v>
      </c>
      <c r="V29">
        <v>0</v>
      </c>
      <c r="W29">
        <v>12</v>
      </c>
      <c r="X29">
        <v>12</v>
      </c>
      <c r="Y29">
        <v>6</v>
      </c>
      <c r="Z29">
        <v>101.474109000002</v>
      </c>
      <c r="AH29">
        <v>101.459851999999</v>
      </c>
      <c r="AI29">
        <v>101.474109000002</v>
      </c>
      <c r="AJ29">
        <v>101.474109000002</v>
      </c>
      <c r="AK29">
        <v>101.474109000002</v>
      </c>
      <c r="AL29">
        <v>5.5128000094555301E-3</v>
      </c>
      <c r="AN29">
        <v>110.969699399996</v>
      </c>
      <c r="AO29" t="s">
        <v>65</v>
      </c>
      <c r="AP29" t="s">
        <v>121</v>
      </c>
      <c r="AQ29" t="s">
        <v>118</v>
      </c>
      <c r="AR29" t="s">
        <v>92</v>
      </c>
      <c r="AS29" t="s">
        <v>93</v>
      </c>
      <c r="AT29" t="s">
        <v>93</v>
      </c>
      <c r="AU29" t="s">
        <v>126</v>
      </c>
      <c r="AV29" t="s">
        <v>95</v>
      </c>
      <c r="AZ29" t="s">
        <v>60</v>
      </c>
      <c r="BA29">
        <v>1</v>
      </c>
      <c r="BB29" t="s">
        <v>61</v>
      </c>
      <c r="BC29" t="s">
        <v>62</v>
      </c>
      <c r="BE29" t="s">
        <v>63</v>
      </c>
      <c r="BF29">
        <v>60.033090236213397</v>
      </c>
      <c r="BG29" t="s">
        <v>64</v>
      </c>
    </row>
    <row r="30" spans="2:59" x14ac:dyDescent="0.35">
      <c r="B30">
        <v>13</v>
      </c>
      <c r="C30">
        <v>13</v>
      </c>
      <c r="D30">
        <v>0</v>
      </c>
      <c r="G30" t="s">
        <v>127</v>
      </c>
      <c r="H30" t="s">
        <v>69</v>
      </c>
      <c r="I30" t="s">
        <v>84</v>
      </c>
      <c r="J30" t="s">
        <v>69</v>
      </c>
      <c r="K30" t="s">
        <v>121</v>
      </c>
      <c r="L30" t="s">
        <v>118</v>
      </c>
      <c r="M30" t="s">
        <v>92</v>
      </c>
      <c r="N30" t="s">
        <v>93</v>
      </c>
      <c r="O30" t="s">
        <v>93</v>
      </c>
      <c r="P30" t="s">
        <v>128</v>
      </c>
      <c r="Q30" t="s">
        <v>95</v>
      </c>
      <c r="V30">
        <v>0</v>
      </c>
      <c r="W30">
        <v>13</v>
      </c>
      <c r="X30">
        <v>13</v>
      </c>
      <c r="Y30">
        <v>8</v>
      </c>
      <c r="Z30">
        <v>110.985222699993</v>
      </c>
      <c r="AH30">
        <v>110.97381399999701</v>
      </c>
      <c r="AI30">
        <v>110.985222699993</v>
      </c>
      <c r="AJ30">
        <v>110.985222699993</v>
      </c>
      <c r="AK30">
        <v>110.985222699993</v>
      </c>
      <c r="AL30">
        <v>3.9688999968348002E-3</v>
      </c>
      <c r="AN30">
        <v>113.504096899996</v>
      </c>
      <c r="AO30" t="s">
        <v>69</v>
      </c>
      <c r="AP30" t="s">
        <v>121</v>
      </c>
      <c r="AQ30" t="s">
        <v>118</v>
      </c>
      <c r="AR30" t="s">
        <v>92</v>
      </c>
      <c r="AS30" t="s">
        <v>93</v>
      </c>
      <c r="AT30" t="s">
        <v>93</v>
      </c>
      <c r="AU30" t="s">
        <v>128</v>
      </c>
      <c r="AV30" t="s">
        <v>95</v>
      </c>
      <c r="AZ30" t="s">
        <v>60</v>
      </c>
      <c r="BA30">
        <v>1</v>
      </c>
      <c r="BB30" t="s">
        <v>61</v>
      </c>
      <c r="BC30" t="s">
        <v>62</v>
      </c>
      <c r="BE30" t="s">
        <v>63</v>
      </c>
      <c r="BF30">
        <v>60.033090236213397</v>
      </c>
      <c r="BG30" t="s">
        <v>64</v>
      </c>
    </row>
    <row r="31" spans="2:59" x14ac:dyDescent="0.35">
      <c r="B31">
        <v>14</v>
      </c>
      <c r="C31">
        <v>14</v>
      </c>
      <c r="D31">
        <v>0</v>
      </c>
      <c r="G31" t="s">
        <v>129</v>
      </c>
      <c r="H31" t="s">
        <v>130</v>
      </c>
      <c r="I31" t="s">
        <v>84</v>
      </c>
      <c r="J31" t="s">
        <v>130</v>
      </c>
      <c r="K31" t="s">
        <v>121</v>
      </c>
      <c r="L31" t="s">
        <v>118</v>
      </c>
      <c r="M31" t="s">
        <v>92</v>
      </c>
      <c r="N31" t="s">
        <v>93</v>
      </c>
      <c r="O31" t="s">
        <v>93</v>
      </c>
      <c r="P31" t="s">
        <v>131</v>
      </c>
      <c r="Q31" t="s">
        <v>95</v>
      </c>
      <c r="V31">
        <v>0</v>
      </c>
      <c r="W31">
        <v>14</v>
      </c>
      <c r="X31">
        <v>14</v>
      </c>
      <c r="Y31">
        <v>2</v>
      </c>
      <c r="Z31">
        <v>113.526168600001</v>
      </c>
      <c r="AH31">
        <v>113.509894399991</v>
      </c>
      <c r="AI31">
        <v>113.526168600001</v>
      </c>
      <c r="AJ31">
        <v>113.526168600001</v>
      </c>
      <c r="AK31">
        <v>113.526168600001</v>
      </c>
      <c r="AL31">
        <v>5.5735000059939904E-3</v>
      </c>
      <c r="AN31">
        <v>116.1538822</v>
      </c>
      <c r="AO31" t="s">
        <v>130</v>
      </c>
      <c r="AP31" t="s">
        <v>121</v>
      </c>
      <c r="AQ31" t="s">
        <v>118</v>
      </c>
      <c r="AR31" t="s">
        <v>92</v>
      </c>
      <c r="AS31" t="s">
        <v>93</v>
      </c>
      <c r="AT31" t="s">
        <v>93</v>
      </c>
      <c r="AU31" t="s">
        <v>131</v>
      </c>
      <c r="AV31" t="s">
        <v>95</v>
      </c>
      <c r="AZ31" t="s">
        <v>60</v>
      </c>
      <c r="BA31">
        <v>1</v>
      </c>
      <c r="BB31" t="s">
        <v>61</v>
      </c>
      <c r="BC31" t="s">
        <v>62</v>
      </c>
      <c r="BE31" t="s">
        <v>63</v>
      </c>
      <c r="BF31">
        <v>60.033090236213397</v>
      </c>
      <c r="BG31" t="s">
        <v>64</v>
      </c>
    </row>
    <row r="32" spans="2:59" x14ac:dyDescent="0.35">
      <c r="B32">
        <v>15</v>
      </c>
      <c r="C32">
        <v>15</v>
      </c>
      <c r="D32">
        <v>0</v>
      </c>
      <c r="G32" t="s">
        <v>132</v>
      </c>
      <c r="H32" t="s">
        <v>75</v>
      </c>
      <c r="I32" t="s">
        <v>84</v>
      </c>
      <c r="J32" t="s">
        <v>75</v>
      </c>
      <c r="K32" t="s">
        <v>121</v>
      </c>
      <c r="L32" t="s">
        <v>118</v>
      </c>
      <c r="M32" t="s">
        <v>92</v>
      </c>
      <c r="N32" t="s">
        <v>93</v>
      </c>
      <c r="O32" t="s">
        <v>93</v>
      </c>
      <c r="P32" t="s">
        <v>133</v>
      </c>
      <c r="Q32" t="s">
        <v>95</v>
      </c>
      <c r="V32">
        <v>0</v>
      </c>
      <c r="W32">
        <v>15</v>
      </c>
      <c r="X32">
        <v>15</v>
      </c>
      <c r="Y32">
        <v>7</v>
      </c>
      <c r="Z32">
        <v>116.175493999995</v>
      </c>
      <c r="AH32">
        <v>116.160208100001</v>
      </c>
      <c r="AI32">
        <v>116.175493999995</v>
      </c>
      <c r="AJ32">
        <v>116.175493999995</v>
      </c>
      <c r="AK32">
        <v>116.175493999995</v>
      </c>
      <c r="AL32">
        <v>6.0777000035159203E-3</v>
      </c>
      <c r="AN32">
        <v>119.353955400001</v>
      </c>
      <c r="AO32" t="s">
        <v>75</v>
      </c>
      <c r="AP32" t="s">
        <v>121</v>
      </c>
      <c r="AQ32" t="s">
        <v>118</v>
      </c>
      <c r="AR32" t="s">
        <v>92</v>
      </c>
      <c r="AS32" t="s">
        <v>93</v>
      </c>
      <c r="AT32" t="s">
        <v>93</v>
      </c>
      <c r="AU32" t="s">
        <v>133</v>
      </c>
      <c r="AV32" t="s">
        <v>95</v>
      </c>
      <c r="AZ32" t="s">
        <v>60</v>
      </c>
      <c r="BA32">
        <v>1</v>
      </c>
      <c r="BB32" t="s">
        <v>61</v>
      </c>
      <c r="BC32" t="s">
        <v>62</v>
      </c>
      <c r="BE32" t="s">
        <v>63</v>
      </c>
      <c r="BF32">
        <v>60.033090236213397</v>
      </c>
      <c r="BG32" t="s">
        <v>64</v>
      </c>
    </row>
    <row r="33" spans="2:59" x14ac:dyDescent="0.35">
      <c r="B33">
        <v>16</v>
      </c>
      <c r="C33">
        <v>16</v>
      </c>
      <c r="D33">
        <v>0</v>
      </c>
      <c r="G33" t="s">
        <v>134</v>
      </c>
      <c r="H33" t="s">
        <v>135</v>
      </c>
      <c r="I33" t="s">
        <v>81</v>
      </c>
      <c r="J33" t="s">
        <v>135</v>
      </c>
      <c r="K33" t="s">
        <v>121</v>
      </c>
      <c r="L33" t="s">
        <v>118</v>
      </c>
      <c r="M33" t="s">
        <v>92</v>
      </c>
      <c r="N33" t="s">
        <v>93</v>
      </c>
      <c r="O33" t="s">
        <v>93</v>
      </c>
      <c r="P33" t="s">
        <v>136</v>
      </c>
      <c r="Q33" t="s">
        <v>95</v>
      </c>
      <c r="V33">
        <v>0</v>
      </c>
      <c r="W33">
        <v>16</v>
      </c>
      <c r="X33">
        <v>16</v>
      </c>
      <c r="Y33">
        <v>16</v>
      </c>
      <c r="Z33">
        <v>119.37606319999</v>
      </c>
      <c r="AH33">
        <v>119.36037139999</v>
      </c>
      <c r="AI33">
        <v>119.37606319999</v>
      </c>
      <c r="AJ33">
        <v>119.37606319999</v>
      </c>
      <c r="AK33">
        <v>119.37606319999</v>
      </c>
      <c r="AL33">
        <v>6.1740999954054097E-3</v>
      </c>
      <c r="AN33">
        <v>122.386114099994</v>
      </c>
      <c r="AO33" t="s">
        <v>135</v>
      </c>
      <c r="AP33" t="s">
        <v>121</v>
      </c>
      <c r="AQ33" t="s">
        <v>118</v>
      </c>
      <c r="AR33" t="s">
        <v>92</v>
      </c>
      <c r="AS33" t="s">
        <v>93</v>
      </c>
      <c r="AT33" t="s">
        <v>93</v>
      </c>
      <c r="AU33" t="s">
        <v>136</v>
      </c>
      <c r="AV33" t="s">
        <v>95</v>
      </c>
      <c r="AZ33" t="s">
        <v>60</v>
      </c>
      <c r="BA33">
        <v>1</v>
      </c>
      <c r="BB33" t="s">
        <v>61</v>
      </c>
      <c r="BC33" t="s">
        <v>62</v>
      </c>
      <c r="BE33" t="s">
        <v>63</v>
      </c>
      <c r="BF33">
        <v>60.033090236213397</v>
      </c>
      <c r="BG33" t="s">
        <v>64</v>
      </c>
    </row>
    <row r="34" spans="2:59" x14ac:dyDescent="0.35">
      <c r="B34">
        <v>17</v>
      </c>
      <c r="C34">
        <v>17</v>
      </c>
      <c r="D34">
        <v>0</v>
      </c>
      <c r="G34" t="s">
        <v>137</v>
      </c>
      <c r="H34" t="s">
        <v>68</v>
      </c>
      <c r="I34" t="s">
        <v>84</v>
      </c>
      <c r="J34" t="s">
        <v>138</v>
      </c>
      <c r="K34" t="s">
        <v>82</v>
      </c>
      <c r="L34" t="s">
        <v>82</v>
      </c>
      <c r="M34" t="s">
        <v>82</v>
      </c>
      <c r="N34" t="s">
        <v>82</v>
      </c>
      <c r="O34" t="s">
        <v>82</v>
      </c>
      <c r="P34" t="s">
        <v>82</v>
      </c>
      <c r="Q34" t="s">
        <v>82</v>
      </c>
      <c r="V34">
        <v>0</v>
      </c>
      <c r="W34">
        <v>17</v>
      </c>
      <c r="X34">
        <v>17</v>
      </c>
      <c r="Y34">
        <v>10</v>
      </c>
      <c r="Z34">
        <v>122.40158779999101</v>
      </c>
      <c r="AH34">
        <v>122.390279500003</v>
      </c>
      <c r="AI34">
        <v>122.40158779999101</v>
      </c>
      <c r="AJ34">
        <v>122.40158779999101</v>
      </c>
      <c r="AK34">
        <v>122.40158779999101</v>
      </c>
      <c r="AL34">
        <v>4.0044000052148398E-3</v>
      </c>
      <c r="AM34">
        <v>132.40410369999799</v>
      </c>
      <c r="AN34">
        <v>132.38546769998999</v>
      </c>
      <c r="AO34" t="s">
        <v>138</v>
      </c>
      <c r="AP34" t="s">
        <v>82</v>
      </c>
      <c r="AQ34" t="s">
        <v>82</v>
      </c>
      <c r="AR34" t="s">
        <v>82</v>
      </c>
      <c r="AS34" t="s">
        <v>82</v>
      </c>
      <c r="AT34" t="s">
        <v>82</v>
      </c>
      <c r="AU34" t="s">
        <v>82</v>
      </c>
      <c r="AV34" t="s">
        <v>82</v>
      </c>
      <c r="AW34">
        <v>132.40410369999799</v>
      </c>
      <c r="AX34">
        <v>132.40410369999799</v>
      </c>
      <c r="AY34">
        <v>9.9986715999984792</v>
      </c>
      <c r="AZ34" t="s">
        <v>60</v>
      </c>
      <c r="BA34">
        <v>1</v>
      </c>
      <c r="BB34" t="s">
        <v>61</v>
      </c>
      <c r="BC34" t="s">
        <v>62</v>
      </c>
      <c r="BE34" t="s">
        <v>63</v>
      </c>
      <c r="BF34">
        <v>60.033090236213397</v>
      </c>
      <c r="BG34" t="s">
        <v>64</v>
      </c>
    </row>
    <row r="35" spans="2:59" x14ac:dyDescent="0.35">
      <c r="B35">
        <v>18</v>
      </c>
      <c r="C35">
        <v>18</v>
      </c>
      <c r="D35">
        <v>0</v>
      </c>
      <c r="G35" t="s">
        <v>139</v>
      </c>
      <c r="H35" t="s">
        <v>140</v>
      </c>
      <c r="I35" t="s">
        <v>81</v>
      </c>
      <c r="J35" t="s">
        <v>140</v>
      </c>
      <c r="K35" t="s">
        <v>121</v>
      </c>
      <c r="L35" t="s">
        <v>118</v>
      </c>
      <c r="M35" t="s">
        <v>92</v>
      </c>
      <c r="N35" t="s">
        <v>93</v>
      </c>
      <c r="O35" t="s">
        <v>93</v>
      </c>
      <c r="P35" t="s">
        <v>141</v>
      </c>
      <c r="Q35" t="s">
        <v>95</v>
      </c>
      <c r="V35">
        <v>0</v>
      </c>
      <c r="W35">
        <v>18</v>
      </c>
      <c r="X35">
        <v>18</v>
      </c>
      <c r="Y35">
        <v>17</v>
      </c>
      <c r="Z35">
        <v>132.40410369999799</v>
      </c>
      <c r="AH35">
        <v>132.39272039999099</v>
      </c>
      <c r="AI35">
        <v>132.40410369999799</v>
      </c>
      <c r="AJ35">
        <v>132.40410369999799</v>
      </c>
      <c r="AK35">
        <v>132.40410369999799</v>
      </c>
      <c r="AL35">
        <v>6.4445000025443698E-3</v>
      </c>
      <c r="AN35">
        <v>137.102486899995</v>
      </c>
      <c r="AO35" t="s">
        <v>140</v>
      </c>
      <c r="AP35" t="s">
        <v>121</v>
      </c>
      <c r="AQ35" t="s">
        <v>118</v>
      </c>
      <c r="AR35" t="s">
        <v>92</v>
      </c>
      <c r="AS35" t="s">
        <v>93</v>
      </c>
      <c r="AT35" t="s">
        <v>93</v>
      </c>
      <c r="AU35" t="s">
        <v>141</v>
      </c>
      <c r="AV35" t="s">
        <v>95</v>
      </c>
      <c r="AZ35" t="s">
        <v>60</v>
      </c>
      <c r="BA35">
        <v>1</v>
      </c>
      <c r="BB35" t="s">
        <v>61</v>
      </c>
      <c r="BC35" t="s">
        <v>62</v>
      </c>
      <c r="BE35" t="s">
        <v>63</v>
      </c>
      <c r="BF35">
        <v>60.033090236213397</v>
      </c>
      <c r="BG35" t="s">
        <v>64</v>
      </c>
    </row>
    <row r="36" spans="2:59" x14ac:dyDescent="0.35">
      <c r="B36">
        <v>19</v>
      </c>
      <c r="C36">
        <v>19</v>
      </c>
      <c r="D36">
        <v>0</v>
      </c>
      <c r="G36" t="s">
        <v>142</v>
      </c>
      <c r="H36" t="s">
        <v>67</v>
      </c>
      <c r="I36" t="s">
        <v>84</v>
      </c>
      <c r="J36" t="s">
        <v>89</v>
      </c>
      <c r="K36" t="s">
        <v>121</v>
      </c>
      <c r="L36" t="s">
        <v>118</v>
      </c>
      <c r="M36" t="s">
        <v>92</v>
      </c>
      <c r="N36" t="s">
        <v>93</v>
      </c>
      <c r="O36" t="s">
        <v>93</v>
      </c>
      <c r="P36" t="s">
        <v>143</v>
      </c>
      <c r="Q36" t="s">
        <v>95</v>
      </c>
      <c r="V36">
        <v>0</v>
      </c>
      <c r="W36">
        <v>19</v>
      </c>
      <c r="X36">
        <v>19</v>
      </c>
      <c r="Y36">
        <v>11</v>
      </c>
      <c r="Z36">
        <v>137.118130200004</v>
      </c>
      <c r="AH36">
        <v>137.106426099999</v>
      </c>
      <c r="AI36">
        <v>137.118130200004</v>
      </c>
      <c r="AJ36">
        <v>137.118130200004</v>
      </c>
      <c r="AK36">
        <v>137.118130200004</v>
      </c>
      <c r="AL36">
        <v>3.7944000068819098E-3</v>
      </c>
      <c r="AN36">
        <v>143.270282800003</v>
      </c>
      <c r="AO36" t="s">
        <v>89</v>
      </c>
      <c r="AP36" t="s">
        <v>121</v>
      </c>
      <c r="AQ36" t="s">
        <v>118</v>
      </c>
      <c r="AR36" t="s">
        <v>92</v>
      </c>
      <c r="AS36" t="s">
        <v>93</v>
      </c>
      <c r="AT36" t="s">
        <v>93</v>
      </c>
      <c r="AU36" t="s">
        <v>143</v>
      </c>
      <c r="AV36" t="s">
        <v>95</v>
      </c>
      <c r="AZ36" t="s">
        <v>60</v>
      </c>
      <c r="BA36">
        <v>1</v>
      </c>
      <c r="BB36" t="s">
        <v>61</v>
      </c>
      <c r="BC36" t="s">
        <v>62</v>
      </c>
      <c r="BE36" t="s">
        <v>63</v>
      </c>
      <c r="BF36">
        <v>60.033090236213397</v>
      </c>
      <c r="BG3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4FAF-0B79-436C-9855-9BD9F4202E73}">
  <dimension ref="A1:J21"/>
  <sheetViews>
    <sheetView tabSelected="1" workbookViewId="0">
      <selection activeCell="Q10" sqref="Q10"/>
    </sheetView>
  </sheetViews>
  <sheetFormatPr defaultRowHeight="14.5" x14ac:dyDescent="0.35"/>
  <cols>
    <col min="9" max="9" width="14" bestFit="1" customWidth="1"/>
  </cols>
  <sheetData>
    <row r="1" spans="1:10" x14ac:dyDescent="0.35">
      <c r="A1" t="s">
        <v>6</v>
      </c>
      <c r="B1" t="s">
        <v>7</v>
      </c>
      <c r="C1" t="s">
        <v>8</v>
      </c>
      <c r="D1" t="s">
        <v>9</v>
      </c>
    </row>
    <row r="2" spans="1:10" x14ac:dyDescent="0.35">
      <c r="A2" t="s">
        <v>79</v>
      </c>
      <c r="B2" t="s">
        <v>80</v>
      </c>
      <c r="C2" t="s">
        <v>81</v>
      </c>
    </row>
    <row r="3" spans="1:10" x14ac:dyDescent="0.35">
      <c r="A3" t="s">
        <v>88</v>
      </c>
      <c r="B3" t="s">
        <v>89</v>
      </c>
      <c r="C3" t="s">
        <v>81</v>
      </c>
      <c r="D3" t="s">
        <v>89</v>
      </c>
      <c r="E3">
        <v>1</v>
      </c>
    </row>
    <row r="4" spans="1:10" x14ac:dyDescent="0.35">
      <c r="A4" t="s">
        <v>102</v>
      </c>
      <c r="B4" t="s">
        <v>103</v>
      </c>
      <c r="C4" t="s">
        <v>81</v>
      </c>
      <c r="D4" t="s">
        <v>103</v>
      </c>
      <c r="E4">
        <v>1</v>
      </c>
    </row>
    <row r="5" spans="1:10" x14ac:dyDescent="0.35">
      <c r="A5" t="s">
        <v>134</v>
      </c>
      <c r="B5" t="s">
        <v>135</v>
      </c>
      <c r="C5" t="s">
        <v>81</v>
      </c>
      <c r="D5" t="s">
        <v>135</v>
      </c>
      <c r="E5">
        <v>1</v>
      </c>
      <c r="G5" t="s">
        <v>144</v>
      </c>
      <c r="H5">
        <v>4</v>
      </c>
      <c r="I5" t="s">
        <v>145</v>
      </c>
      <c r="J5">
        <f>H5/5</f>
        <v>0.8</v>
      </c>
    </row>
    <row r="6" spans="1:10" x14ac:dyDescent="0.35">
      <c r="A6" t="s">
        <v>139</v>
      </c>
      <c r="B6" t="s">
        <v>140</v>
      </c>
      <c r="C6" t="s">
        <v>81</v>
      </c>
      <c r="D6" t="s">
        <v>140</v>
      </c>
      <c r="E6">
        <v>1</v>
      </c>
      <c r="G6" t="s">
        <v>146</v>
      </c>
      <c r="H6">
        <v>11</v>
      </c>
      <c r="I6" t="s">
        <v>145</v>
      </c>
      <c r="J6">
        <f>11/15</f>
        <v>0.73333333333333328</v>
      </c>
    </row>
    <row r="7" spans="1:10" x14ac:dyDescent="0.35">
      <c r="A7" t="s">
        <v>83</v>
      </c>
      <c r="B7" t="s">
        <v>73</v>
      </c>
      <c r="C7" t="s">
        <v>84</v>
      </c>
      <c r="D7" t="s">
        <v>85</v>
      </c>
    </row>
    <row r="8" spans="1:10" x14ac:dyDescent="0.35">
      <c r="A8" t="s">
        <v>86</v>
      </c>
      <c r="B8" t="s">
        <v>76</v>
      </c>
      <c r="C8" t="s">
        <v>84</v>
      </c>
      <c r="D8" t="s">
        <v>87</v>
      </c>
      <c r="I8" t="s">
        <v>147</v>
      </c>
      <c r="J8">
        <f>J6-J5</f>
        <v>-6.6666666666666763E-2</v>
      </c>
    </row>
    <row r="9" spans="1:10" x14ac:dyDescent="0.35">
      <c r="A9" t="s">
        <v>96</v>
      </c>
      <c r="B9" t="s">
        <v>77</v>
      </c>
      <c r="C9" t="s">
        <v>84</v>
      </c>
      <c r="D9" t="s">
        <v>77</v>
      </c>
      <c r="E9">
        <v>1</v>
      </c>
    </row>
    <row r="10" spans="1:10" x14ac:dyDescent="0.35">
      <c r="A10" t="s">
        <v>100</v>
      </c>
      <c r="B10" t="s">
        <v>66</v>
      </c>
      <c r="C10" t="s">
        <v>84</v>
      </c>
      <c r="D10" t="s">
        <v>66</v>
      </c>
      <c r="E10">
        <v>1</v>
      </c>
    </row>
    <row r="11" spans="1:10" x14ac:dyDescent="0.35">
      <c r="A11" t="s">
        <v>105</v>
      </c>
      <c r="B11" t="s">
        <v>72</v>
      </c>
      <c r="C11" t="s">
        <v>84</v>
      </c>
      <c r="D11" t="s">
        <v>72</v>
      </c>
      <c r="E11">
        <v>1</v>
      </c>
    </row>
    <row r="12" spans="1:10" x14ac:dyDescent="0.35">
      <c r="A12" t="s">
        <v>109</v>
      </c>
      <c r="B12" t="s">
        <v>74</v>
      </c>
      <c r="C12" t="s">
        <v>84</v>
      </c>
      <c r="D12" t="s">
        <v>74</v>
      </c>
      <c r="E12">
        <v>1</v>
      </c>
    </row>
    <row r="13" spans="1:10" x14ac:dyDescent="0.35">
      <c r="A13" t="s">
        <v>116</v>
      </c>
      <c r="B13" t="s">
        <v>71</v>
      </c>
      <c r="C13" t="s">
        <v>84</v>
      </c>
      <c r="D13" t="s">
        <v>71</v>
      </c>
      <c r="E13">
        <v>1</v>
      </c>
    </row>
    <row r="14" spans="1:10" x14ac:dyDescent="0.35">
      <c r="A14" t="s">
        <v>120</v>
      </c>
      <c r="B14" t="s">
        <v>59</v>
      </c>
      <c r="C14" t="s">
        <v>84</v>
      </c>
      <c r="D14" t="s">
        <v>59</v>
      </c>
      <c r="E14">
        <v>1</v>
      </c>
    </row>
    <row r="15" spans="1:10" x14ac:dyDescent="0.35">
      <c r="A15" t="s">
        <v>123</v>
      </c>
      <c r="B15" t="s">
        <v>70</v>
      </c>
      <c r="C15" t="s">
        <v>84</v>
      </c>
      <c r="D15" t="s">
        <v>70</v>
      </c>
      <c r="E15">
        <v>1</v>
      </c>
    </row>
    <row r="16" spans="1:10" x14ac:dyDescent="0.35">
      <c r="A16" t="s">
        <v>125</v>
      </c>
      <c r="B16" t="s">
        <v>65</v>
      </c>
      <c r="C16" t="s">
        <v>84</v>
      </c>
      <c r="D16" t="s">
        <v>65</v>
      </c>
      <c r="E16">
        <v>1</v>
      </c>
    </row>
    <row r="17" spans="1:5" x14ac:dyDescent="0.35">
      <c r="A17" t="s">
        <v>127</v>
      </c>
      <c r="B17" t="s">
        <v>69</v>
      </c>
      <c r="C17" t="s">
        <v>84</v>
      </c>
      <c r="D17" t="s">
        <v>69</v>
      </c>
      <c r="E17">
        <v>1</v>
      </c>
    </row>
    <row r="18" spans="1:5" x14ac:dyDescent="0.35">
      <c r="A18" t="s">
        <v>129</v>
      </c>
      <c r="B18" t="s">
        <v>130</v>
      </c>
      <c r="C18" t="s">
        <v>84</v>
      </c>
      <c r="D18" t="s">
        <v>130</v>
      </c>
      <c r="E18">
        <v>1</v>
      </c>
    </row>
    <row r="19" spans="1:5" x14ac:dyDescent="0.35">
      <c r="A19" t="s">
        <v>132</v>
      </c>
      <c r="B19" t="s">
        <v>75</v>
      </c>
      <c r="C19" t="s">
        <v>84</v>
      </c>
      <c r="D19" t="s">
        <v>75</v>
      </c>
      <c r="E19">
        <v>1</v>
      </c>
    </row>
    <row r="20" spans="1:5" x14ac:dyDescent="0.35">
      <c r="A20" t="s">
        <v>137</v>
      </c>
      <c r="B20" t="s">
        <v>68</v>
      </c>
      <c r="C20" t="s">
        <v>84</v>
      </c>
      <c r="D20" t="s">
        <v>138</v>
      </c>
    </row>
    <row r="21" spans="1:5" x14ac:dyDescent="0.35">
      <c r="A21" t="s">
        <v>142</v>
      </c>
      <c r="B21" t="s">
        <v>67</v>
      </c>
      <c r="C21" t="s">
        <v>84</v>
      </c>
      <c r="D21" t="s">
        <v>89</v>
      </c>
    </row>
  </sheetData>
  <sortState xmlns:xlrd2="http://schemas.microsoft.com/office/spreadsheetml/2017/richdata2" ref="A2:D22">
    <sortCondition ref="C3:C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P4_Word Priming Task_2025-10-15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2025-10-16T14:37:46Z</dcterms:created>
  <dcterms:modified xsi:type="dcterms:W3CDTF">2025-10-16T14:40:22Z</dcterms:modified>
</cp:coreProperties>
</file>