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Delay Discounting\data\"/>
    </mc:Choice>
  </mc:AlternateContent>
  <xr:revisionPtr revIDLastSave="0" documentId="13_ncr:1_{73A4D969-EBAF-460F-A55F-2BF4444CBB36}" xr6:coauthVersionLast="47" xr6:coauthVersionMax="47" xr10:uidLastSave="{00000000-0000-0000-0000-000000000000}"/>
  <bookViews>
    <workbookView xWindow="0" yWindow="360" windowWidth="19420" windowHeight="10300" firstSheet="1" activeTab="1" xr2:uid="{7DFAB94C-AD0B-4B22-9AE6-6510E5CC2679}"/>
  </bookViews>
  <sheets>
    <sheet name="P1_Delay Discounting_2025-11-0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1" i="2"/>
  <c r="E32" i="2"/>
  <c r="E33" i="2"/>
  <c r="E34" i="2"/>
  <c r="E35" i="2"/>
  <c r="E36" i="2"/>
  <c r="E7" i="2"/>
  <c r="E37" i="2"/>
  <c r="E38" i="2"/>
  <c r="E8" i="2"/>
  <c r="E39" i="2"/>
  <c r="E40" i="2"/>
  <c r="E9" i="2"/>
  <c r="E41" i="2"/>
  <c r="E10" i="2"/>
  <c r="E42" i="2"/>
  <c r="E11" i="2"/>
  <c r="E12" i="2"/>
  <c r="E13" i="2"/>
  <c r="E43" i="2"/>
  <c r="E44" i="2"/>
  <c r="E1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15" i="2"/>
  <c r="E59" i="2"/>
  <c r="E16" i="2"/>
  <c r="E60" i="2"/>
  <c r="E61" i="2"/>
  <c r="E62" i="2"/>
  <c r="E17" i="2"/>
  <c r="E63" i="2"/>
  <c r="E64" i="2"/>
  <c r="E65" i="2"/>
  <c r="E66" i="2"/>
  <c r="E67" i="2"/>
  <c r="E68" i="2"/>
  <c r="E69" i="2"/>
  <c r="E70" i="2"/>
  <c r="E71" i="2"/>
  <c r="E72" i="2"/>
  <c r="E73" i="2"/>
  <c r="E18" i="2"/>
  <c r="E19" i="2"/>
  <c r="E74" i="2"/>
  <c r="E20" i="2"/>
  <c r="E75" i="2"/>
  <c r="E76" i="2"/>
  <c r="E77" i="2"/>
  <c r="E78" i="2"/>
  <c r="E21" i="2"/>
  <c r="E79" i="2"/>
  <c r="E80" i="2"/>
  <c r="E81" i="2"/>
  <c r="E82" i="2"/>
  <c r="E22" i="2"/>
  <c r="E83" i="2"/>
  <c r="E2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4" i="2"/>
  <c r="G24" i="2" s="1"/>
  <c r="E101" i="2"/>
  <c r="E25" i="2"/>
  <c r="E26" i="2"/>
  <c r="E27" i="2"/>
  <c r="E28" i="2"/>
  <c r="E29" i="2"/>
  <c r="E3" i="2"/>
  <c r="E4" i="2"/>
  <c r="E5" i="2"/>
  <c r="E30" i="2"/>
  <c r="E6" i="2"/>
</calcChain>
</file>

<file path=xl/sharedStrings.xml><?xml version="1.0" encoding="utf-8"?>
<sst xmlns="http://schemas.openxmlformats.org/spreadsheetml/2006/main" count="1055" uniqueCount="49">
  <si>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</si>
  <si>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</si>
  <si>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</si>
  <si>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</si>
  <si>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</si>
  <si>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</si>
  <si>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</si>
  <si>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</si>
  <si>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</si>
  <si>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</si>
  <si>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</si>
  <si>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</si>
  <si>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</si>
  <si>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</si>
  <si>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</si>
  <si>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</si>
  <si>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text_3.started</t>
  </si>
  <si>
    <t>Welcome_screen.stopped</t>
  </si>
  <si>
    <t>trial.started</t>
  </si>
  <si>
    <t>polygon.started</t>
  </si>
  <si>
    <t>text.started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</si>
  <si>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</si>
  <si>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</si>
  <si>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</si>
  <si>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</si>
  <si>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</si>
  <si>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</si>
  <si>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</si>
  <si>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</si>
  <si>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</si>
  <si>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</si>
  <si>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</si>
  <si>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</si>
  <si>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</si>
  <si>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</si>
  <si>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</si>
  <si>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</si>
  <si>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</si>
  <si>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</si>
  <si>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P1</t>
  </si>
  <si>
    <t>2025-11-01_01h32.38.081</t>
  </si>
  <si>
    <t>Delay Discounting</t>
  </si>
  <si>
    <t>2025.1.1</t>
  </si>
  <si>
    <t>2025-11-01 01h32.48.657477 +0530</t>
  </si>
  <si>
    <t>l</t>
  </si>
  <si>
    <t>None</t>
  </si>
  <si>
    <t>t</t>
  </si>
  <si>
    <t>K(Point of indifference)</t>
  </si>
  <si>
    <t>for this participant the geomean value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</si>
</sst>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731A-4B57-4613-B306-740FBAEC8553}">
  <dimension ref="A1:AM103"/>
  <sheetViews>
    <sheetView workbookViewId="0">
      <selection activeCell="G1" activeCellId="3" sqref="B1:B1048576 C1:C1048576 A1:A1048576 G1:G1048576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P2">
        <v>3.83499998133629E-3</v>
      </c>
      <c r="Q2">
        <v>8.7520000524818897E-3</v>
      </c>
      <c r="R2">
        <v>5.0032192000653497</v>
      </c>
      <c r="AF2" t="s">
        <v>39</v>
      </c>
      <c r="AG2">
        <v>1</v>
      </c>
      <c r="AH2" t="s">
        <v>40</v>
      </c>
      <c r="AI2" t="s">
        <v>41</v>
      </c>
      <c r="AK2" t="s">
        <v>42</v>
      </c>
      <c r="AL2">
        <v>60.129109226439297</v>
      </c>
      <c r="AM2" t="s">
        <v>43</v>
      </c>
    </row>
    <row r="3" spans="1:39" x14ac:dyDescent="0.35">
      <c r="A3">
        <v>78</v>
      </c>
      <c r="B3">
        <v>80</v>
      </c>
      <c r="C3">
        <v>162</v>
      </c>
      <c r="D3">
        <v>0</v>
      </c>
      <c r="E3">
        <v>0</v>
      </c>
      <c r="F3">
        <v>0</v>
      </c>
      <c r="G3" t="s">
        <v>44</v>
      </c>
      <c r="H3">
        <v>14.3373209999408</v>
      </c>
      <c r="I3" t="s">
        <v>45</v>
      </c>
      <c r="J3">
        <v>0</v>
      </c>
      <c r="K3">
        <v>0</v>
      </c>
      <c r="L3">
        <v>0</v>
      </c>
      <c r="M3">
        <v>6</v>
      </c>
      <c r="N3">
        <v>5.0723464000038803</v>
      </c>
      <c r="S3">
        <v>5.0683298000367296</v>
      </c>
      <c r="T3">
        <v>5.0723464000038803</v>
      </c>
      <c r="U3">
        <v>6.0016229000175301</v>
      </c>
      <c r="V3">
        <v>6.0016229000175301</v>
      </c>
      <c r="W3">
        <v>6.0849090000847301</v>
      </c>
      <c r="X3">
        <v>20.376733400043999</v>
      </c>
      <c r="Y3" t="s">
        <v>44</v>
      </c>
      <c r="Z3">
        <v>14.3373209999408</v>
      </c>
      <c r="AA3" t="s">
        <v>45</v>
      </c>
      <c r="AF3" t="s">
        <v>39</v>
      </c>
      <c r="AG3">
        <v>1</v>
      </c>
      <c r="AH3" t="s">
        <v>40</v>
      </c>
      <c r="AI3" t="s">
        <v>41</v>
      </c>
      <c r="AK3" t="s">
        <v>42</v>
      </c>
      <c r="AL3">
        <v>60.129109226439297</v>
      </c>
      <c r="AM3" t="s">
        <v>43</v>
      </c>
    </row>
    <row r="4" spans="1:39" x14ac:dyDescent="0.35">
      <c r="A4">
        <v>70</v>
      </c>
      <c r="B4">
        <v>150</v>
      </c>
      <c r="C4">
        <v>33</v>
      </c>
      <c r="D4">
        <v>1</v>
      </c>
      <c r="E4">
        <v>1</v>
      </c>
      <c r="F4">
        <v>0</v>
      </c>
      <c r="G4" t="s">
        <v>46</v>
      </c>
      <c r="H4">
        <v>7.2357525000115803</v>
      </c>
      <c r="I4" t="s">
        <v>45</v>
      </c>
      <c r="J4">
        <v>0</v>
      </c>
      <c r="K4">
        <v>1</v>
      </c>
      <c r="L4">
        <v>1</v>
      </c>
      <c r="M4">
        <v>75</v>
      </c>
      <c r="N4">
        <v>20.395088199991701</v>
      </c>
      <c r="S4">
        <v>20.390888900030401</v>
      </c>
      <c r="T4">
        <v>20.395088199991701</v>
      </c>
      <c r="U4">
        <v>21.385053700068902</v>
      </c>
      <c r="V4">
        <v>21.385053700068902</v>
      </c>
      <c r="W4">
        <v>21.429085900075702</v>
      </c>
      <c r="X4">
        <v>28.635367200011299</v>
      </c>
      <c r="Y4" t="s">
        <v>46</v>
      </c>
      <c r="Z4">
        <v>7.2357525000115803</v>
      </c>
      <c r="AA4" t="s">
        <v>45</v>
      </c>
      <c r="AF4" t="s">
        <v>39</v>
      </c>
      <c r="AG4">
        <v>1</v>
      </c>
      <c r="AH4" t="s">
        <v>40</v>
      </c>
      <c r="AI4" t="s">
        <v>41</v>
      </c>
      <c r="AK4" t="s">
        <v>42</v>
      </c>
      <c r="AL4">
        <v>60.129109226439297</v>
      </c>
      <c r="AM4" t="s">
        <v>43</v>
      </c>
    </row>
    <row r="5" spans="1:39" x14ac:dyDescent="0.35">
      <c r="A5">
        <v>94</v>
      </c>
      <c r="B5">
        <v>210</v>
      </c>
      <c r="C5">
        <v>45</v>
      </c>
      <c r="D5">
        <v>2</v>
      </c>
      <c r="E5">
        <v>2</v>
      </c>
      <c r="F5">
        <v>0</v>
      </c>
      <c r="G5" t="s">
        <v>46</v>
      </c>
      <c r="H5">
        <v>6.7933194999350199</v>
      </c>
      <c r="I5" t="s">
        <v>45</v>
      </c>
      <c r="J5">
        <v>0</v>
      </c>
      <c r="K5">
        <v>2</v>
      </c>
      <c r="L5">
        <v>2</v>
      </c>
      <c r="M5">
        <v>87</v>
      </c>
      <c r="N5">
        <v>28.651097099995201</v>
      </c>
      <c r="S5">
        <v>28.648332100012301</v>
      </c>
      <c r="T5">
        <v>28.651097099995201</v>
      </c>
      <c r="U5">
        <v>29.634628400090101</v>
      </c>
      <c r="V5">
        <v>29.634628400090101</v>
      </c>
      <c r="W5">
        <v>29.651137400069199</v>
      </c>
      <c r="X5">
        <v>36.435740299988502</v>
      </c>
      <c r="Y5" t="s">
        <v>46</v>
      </c>
      <c r="Z5">
        <v>6.7933194999350199</v>
      </c>
      <c r="AA5" t="s">
        <v>45</v>
      </c>
      <c r="AF5" t="s">
        <v>39</v>
      </c>
      <c r="AG5">
        <v>1</v>
      </c>
      <c r="AH5" t="s">
        <v>40</v>
      </c>
      <c r="AI5" t="s">
        <v>41</v>
      </c>
      <c r="AK5" t="s">
        <v>42</v>
      </c>
      <c r="AL5">
        <v>60.129109226439297</v>
      </c>
      <c r="AM5" t="s">
        <v>43</v>
      </c>
    </row>
    <row r="6" spans="1:39" x14ac:dyDescent="0.35">
      <c r="A6">
        <v>76</v>
      </c>
      <c r="B6">
        <v>165</v>
      </c>
      <c r="C6">
        <v>36</v>
      </c>
      <c r="D6">
        <v>3</v>
      </c>
      <c r="E6">
        <v>3</v>
      </c>
      <c r="F6">
        <v>0</v>
      </c>
      <c r="G6" t="s">
        <v>46</v>
      </c>
      <c r="H6">
        <v>6.3340154999168501</v>
      </c>
      <c r="I6" t="s">
        <v>45</v>
      </c>
      <c r="J6">
        <v>0</v>
      </c>
      <c r="K6">
        <v>3</v>
      </c>
      <c r="L6">
        <v>3</v>
      </c>
      <c r="M6">
        <v>78</v>
      </c>
      <c r="N6">
        <v>36.451483900076703</v>
      </c>
      <c r="S6">
        <v>36.4421533000422</v>
      </c>
      <c r="T6">
        <v>36.451483900076703</v>
      </c>
      <c r="U6">
        <v>37.434903600020299</v>
      </c>
      <c r="V6">
        <v>37.434903600020299</v>
      </c>
      <c r="W6">
        <v>37.451610399992198</v>
      </c>
      <c r="X6">
        <v>43.784880200051703</v>
      </c>
      <c r="Y6" t="s">
        <v>46</v>
      </c>
      <c r="Z6">
        <v>6.3340154999168501</v>
      </c>
      <c r="AA6" t="s">
        <v>45</v>
      </c>
      <c r="AF6" t="s">
        <v>39</v>
      </c>
      <c r="AG6">
        <v>1</v>
      </c>
      <c r="AH6" t="s">
        <v>40</v>
      </c>
      <c r="AI6" t="s">
        <v>41</v>
      </c>
      <c r="AK6" t="s">
        <v>42</v>
      </c>
      <c r="AL6">
        <v>60.129109226439297</v>
      </c>
      <c r="AM6" t="s">
        <v>43</v>
      </c>
    </row>
    <row r="7" spans="1:39" x14ac:dyDescent="0.35">
      <c r="A7">
        <v>50</v>
      </c>
      <c r="B7">
        <v>100</v>
      </c>
      <c r="C7">
        <v>23</v>
      </c>
      <c r="D7">
        <v>4</v>
      </c>
      <c r="E7">
        <v>4</v>
      </c>
      <c r="F7">
        <v>0</v>
      </c>
      <c r="G7" t="s">
        <v>46</v>
      </c>
      <c r="H7">
        <v>3.4732185000320799</v>
      </c>
      <c r="I7" t="s">
        <v>45</v>
      </c>
      <c r="J7">
        <v>0</v>
      </c>
      <c r="K7">
        <v>4</v>
      </c>
      <c r="L7">
        <v>4</v>
      </c>
      <c r="M7">
        <v>65</v>
      </c>
      <c r="N7">
        <v>43.800745800021097</v>
      </c>
      <c r="S7">
        <v>43.795729700010199</v>
      </c>
      <c r="T7">
        <v>43.800745800021097</v>
      </c>
      <c r="U7">
        <v>44.785044400021398</v>
      </c>
      <c r="V7">
        <v>44.785044400021398</v>
      </c>
      <c r="W7">
        <v>44.8013375999871</v>
      </c>
      <c r="X7">
        <v>48.268923300085497</v>
      </c>
      <c r="Y7" t="s">
        <v>46</v>
      </c>
      <c r="Z7">
        <v>3.4732185000320799</v>
      </c>
      <c r="AA7" t="s">
        <v>45</v>
      </c>
      <c r="AF7" t="s">
        <v>39</v>
      </c>
      <c r="AG7">
        <v>1</v>
      </c>
      <c r="AH7" t="s">
        <v>40</v>
      </c>
      <c r="AI7" t="s">
        <v>41</v>
      </c>
      <c r="AK7" t="s">
        <v>42</v>
      </c>
      <c r="AL7">
        <v>60.129109226439297</v>
      </c>
      <c r="AM7" t="s">
        <v>43</v>
      </c>
    </row>
    <row r="8" spans="1:39" x14ac:dyDescent="0.35">
      <c r="A8">
        <v>56</v>
      </c>
      <c r="B8">
        <v>115</v>
      </c>
      <c r="C8">
        <v>26</v>
      </c>
      <c r="D8">
        <v>5</v>
      </c>
      <c r="E8">
        <v>5</v>
      </c>
      <c r="F8">
        <v>0</v>
      </c>
      <c r="G8" t="s">
        <v>46</v>
      </c>
      <c r="H8">
        <v>3.7951253000646799</v>
      </c>
      <c r="I8" t="s">
        <v>45</v>
      </c>
      <c r="J8">
        <v>0</v>
      </c>
      <c r="K8">
        <v>5</v>
      </c>
      <c r="L8">
        <v>5</v>
      </c>
      <c r="M8">
        <v>68</v>
      </c>
      <c r="N8">
        <v>48.284268400049697</v>
      </c>
      <c r="S8">
        <v>48.276761700049903</v>
      </c>
      <c r="T8">
        <v>48.284268400049697</v>
      </c>
      <c r="U8">
        <v>49.284193900064501</v>
      </c>
      <c r="V8">
        <v>49.284193900064501</v>
      </c>
      <c r="W8">
        <v>49.284193900064501</v>
      </c>
      <c r="X8">
        <v>53.085786700015802</v>
      </c>
      <c r="Y8" t="s">
        <v>46</v>
      </c>
      <c r="Z8">
        <v>3.7951253000646799</v>
      </c>
      <c r="AA8" t="s">
        <v>45</v>
      </c>
      <c r="AF8" t="s">
        <v>39</v>
      </c>
      <c r="AG8">
        <v>1</v>
      </c>
      <c r="AH8" t="s">
        <v>40</v>
      </c>
      <c r="AI8" t="s">
        <v>41</v>
      </c>
      <c r="AK8" t="s">
        <v>42</v>
      </c>
      <c r="AL8">
        <v>60.129109226439297</v>
      </c>
      <c r="AM8" t="s">
        <v>43</v>
      </c>
    </row>
    <row r="9" spans="1:39" x14ac:dyDescent="0.35">
      <c r="A9">
        <v>60</v>
      </c>
      <c r="B9">
        <v>84</v>
      </c>
      <c r="C9">
        <v>85</v>
      </c>
      <c r="D9">
        <v>6</v>
      </c>
      <c r="E9">
        <v>6</v>
      </c>
      <c r="F9">
        <v>0</v>
      </c>
      <c r="G9" t="s">
        <v>44</v>
      </c>
      <c r="H9">
        <v>3.8376888000639102</v>
      </c>
      <c r="I9" t="s">
        <v>45</v>
      </c>
      <c r="J9">
        <v>0</v>
      </c>
      <c r="K9">
        <v>6</v>
      </c>
      <c r="L9">
        <v>6</v>
      </c>
      <c r="M9">
        <v>24</v>
      </c>
      <c r="N9">
        <v>53.1994033000664</v>
      </c>
      <c r="S9">
        <v>53.195508799981297</v>
      </c>
      <c r="T9">
        <v>53.1994033000664</v>
      </c>
      <c r="U9">
        <v>54.100929800071697</v>
      </c>
      <c r="V9">
        <v>54.100929800071697</v>
      </c>
      <c r="W9">
        <v>54.201059799990603</v>
      </c>
      <c r="X9">
        <v>57.9516483000479</v>
      </c>
      <c r="Y9" t="s">
        <v>44</v>
      </c>
      <c r="Z9">
        <v>3.8376888000639102</v>
      </c>
      <c r="AA9" t="s">
        <v>45</v>
      </c>
      <c r="AF9" t="s">
        <v>39</v>
      </c>
      <c r="AG9">
        <v>1</v>
      </c>
      <c r="AH9" t="s">
        <v>40</v>
      </c>
      <c r="AI9" t="s">
        <v>41</v>
      </c>
      <c r="AK9" t="s">
        <v>42</v>
      </c>
      <c r="AL9">
        <v>60.129109226439297</v>
      </c>
      <c r="AM9" t="s">
        <v>43</v>
      </c>
    </row>
    <row r="10" spans="1:39" x14ac:dyDescent="0.35">
      <c r="A10">
        <v>64</v>
      </c>
      <c r="B10">
        <v>88</v>
      </c>
      <c r="C10">
        <v>95</v>
      </c>
      <c r="D10">
        <v>7</v>
      </c>
      <c r="E10">
        <v>7</v>
      </c>
      <c r="F10">
        <v>0</v>
      </c>
      <c r="G10" t="s">
        <v>44</v>
      </c>
      <c r="H10">
        <v>3.5427465999964598</v>
      </c>
      <c r="I10" t="s">
        <v>45</v>
      </c>
      <c r="J10">
        <v>0</v>
      </c>
      <c r="K10">
        <v>7</v>
      </c>
      <c r="L10">
        <v>7</v>
      </c>
      <c r="M10">
        <v>26</v>
      </c>
      <c r="N10">
        <v>57.967234699986797</v>
      </c>
      <c r="S10">
        <v>57.960389500018202</v>
      </c>
      <c r="T10">
        <v>57.967234699986797</v>
      </c>
      <c r="U10">
        <v>58.951119299977996</v>
      </c>
      <c r="V10">
        <v>58.951119299977996</v>
      </c>
      <c r="W10">
        <v>58.967869800049797</v>
      </c>
      <c r="X10">
        <v>62.5024249000707</v>
      </c>
      <c r="Y10" t="s">
        <v>44</v>
      </c>
      <c r="Z10">
        <v>3.5427465999964598</v>
      </c>
      <c r="AA10" t="s">
        <v>45</v>
      </c>
      <c r="AF10" t="s">
        <v>39</v>
      </c>
      <c r="AG10">
        <v>1</v>
      </c>
      <c r="AH10" t="s">
        <v>40</v>
      </c>
      <c r="AI10" t="s">
        <v>41</v>
      </c>
      <c r="AK10" t="s">
        <v>42</v>
      </c>
      <c r="AL10">
        <v>60.129109226439297</v>
      </c>
      <c r="AM10" t="s">
        <v>43</v>
      </c>
    </row>
    <row r="11" spans="1:39" x14ac:dyDescent="0.35">
      <c r="A11">
        <v>88</v>
      </c>
      <c r="B11">
        <v>130</v>
      </c>
      <c r="C11">
        <v>155</v>
      </c>
      <c r="D11">
        <v>8</v>
      </c>
      <c r="E11">
        <v>8</v>
      </c>
      <c r="F11">
        <v>0</v>
      </c>
      <c r="G11" t="s">
        <v>44</v>
      </c>
      <c r="H11">
        <v>2.94437520008068</v>
      </c>
      <c r="I11" t="s">
        <v>45</v>
      </c>
      <c r="J11">
        <v>0</v>
      </c>
      <c r="K11">
        <v>8</v>
      </c>
      <c r="L11">
        <v>8</v>
      </c>
      <c r="M11">
        <v>38</v>
      </c>
      <c r="N11">
        <v>62.517407600069397</v>
      </c>
      <c r="S11">
        <v>62.512273600092101</v>
      </c>
      <c r="T11">
        <v>62.517407600069397</v>
      </c>
      <c r="U11">
        <v>63.517825899994897</v>
      </c>
      <c r="V11">
        <v>63.517825899994897</v>
      </c>
      <c r="W11">
        <v>63.517825899994897</v>
      </c>
      <c r="X11">
        <v>66.468015499995005</v>
      </c>
      <c r="Y11" t="s">
        <v>44</v>
      </c>
      <c r="Z11">
        <v>2.94437520008068</v>
      </c>
      <c r="AA11" t="s">
        <v>45</v>
      </c>
      <c r="AF11" t="s">
        <v>39</v>
      </c>
      <c r="AG11">
        <v>1</v>
      </c>
      <c r="AH11" t="s">
        <v>40</v>
      </c>
      <c r="AI11" t="s">
        <v>41</v>
      </c>
      <c r="AK11" t="s">
        <v>42</v>
      </c>
      <c r="AL11">
        <v>60.129109226439297</v>
      </c>
      <c r="AM11" t="s">
        <v>43</v>
      </c>
    </row>
    <row r="12" spans="1:39" x14ac:dyDescent="0.35">
      <c r="A12">
        <v>54</v>
      </c>
      <c r="B12">
        <v>110</v>
      </c>
      <c r="C12">
        <v>25</v>
      </c>
      <c r="D12">
        <v>9</v>
      </c>
      <c r="E12">
        <v>9</v>
      </c>
      <c r="F12">
        <v>0</v>
      </c>
      <c r="G12" t="s">
        <v>46</v>
      </c>
      <c r="H12">
        <v>7.8544752999441698</v>
      </c>
      <c r="I12" t="s">
        <v>45</v>
      </c>
      <c r="J12">
        <v>0</v>
      </c>
      <c r="K12">
        <v>9</v>
      </c>
      <c r="L12">
        <v>9</v>
      </c>
      <c r="M12">
        <v>67</v>
      </c>
      <c r="N12">
        <v>66.483790300088003</v>
      </c>
      <c r="S12">
        <v>66.478757200064095</v>
      </c>
      <c r="T12">
        <v>66.483790300088003</v>
      </c>
      <c r="U12">
        <v>67.467676500091301</v>
      </c>
      <c r="V12">
        <v>67.467676500091301</v>
      </c>
      <c r="W12">
        <v>67.484554100083102</v>
      </c>
      <c r="X12">
        <v>75.334817100083399</v>
      </c>
      <c r="Y12" t="s">
        <v>46</v>
      </c>
      <c r="Z12">
        <v>7.8544752999441698</v>
      </c>
      <c r="AA12" t="s">
        <v>45</v>
      </c>
      <c r="AF12" t="s">
        <v>39</v>
      </c>
      <c r="AG12">
        <v>1</v>
      </c>
      <c r="AH12" t="s">
        <v>40</v>
      </c>
      <c r="AI12" t="s">
        <v>41</v>
      </c>
      <c r="AK12" t="s">
        <v>42</v>
      </c>
      <c r="AL12">
        <v>60.129109226439297</v>
      </c>
      <c r="AM12" t="s">
        <v>43</v>
      </c>
    </row>
    <row r="13" spans="1:39" x14ac:dyDescent="0.35">
      <c r="A13">
        <v>108</v>
      </c>
      <c r="B13">
        <v>245</v>
      </c>
      <c r="C13">
        <v>52</v>
      </c>
      <c r="D13">
        <v>10</v>
      </c>
      <c r="E13">
        <v>10</v>
      </c>
      <c r="F13">
        <v>0</v>
      </c>
      <c r="G13" t="s">
        <v>44</v>
      </c>
      <c r="H13">
        <v>2.1255563000449902</v>
      </c>
      <c r="I13" t="s">
        <v>45</v>
      </c>
      <c r="J13">
        <v>0</v>
      </c>
      <c r="K13">
        <v>10</v>
      </c>
      <c r="L13">
        <v>10</v>
      </c>
      <c r="M13">
        <v>94</v>
      </c>
      <c r="N13">
        <v>75.350340000004493</v>
      </c>
      <c r="S13">
        <v>75.341242199996401</v>
      </c>
      <c r="T13">
        <v>75.350340000004493</v>
      </c>
      <c r="U13">
        <v>76.350288000074201</v>
      </c>
      <c r="V13">
        <v>76.350288000074201</v>
      </c>
      <c r="W13">
        <v>76.350288000074201</v>
      </c>
      <c r="X13">
        <v>78.485462300013694</v>
      </c>
      <c r="Y13" t="s">
        <v>44</v>
      </c>
      <c r="Z13">
        <v>2.1255563000449902</v>
      </c>
      <c r="AA13" t="s">
        <v>45</v>
      </c>
      <c r="AF13" t="s">
        <v>39</v>
      </c>
      <c r="AG13">
        <v>1</v>
      </c>
      <c r="AH13" t="s">
        <v>40</v>
      </c>
      <c r="AI13" t="s">
        <v>41</v>
      </c>
      <c r="AK13" t="s">
        <v>42</v>
      </c>
      <c r="AL13">
        <v>60.129109226439297</v>
      </c>
      <c r="AM13" t="s">
        <v>43</v>
      </c>
    </row>
    <row r="14" spans="1:39" x14ac:dyDescent="0.35">
      <c r="A14">
        <v>20</v>
      </c>
      <c r="B14">
        <v>38</v>
      </c>
      <c r="C14">
        <v>12</v>
      </c>
      <c r="D14">
        <v>11</v>
      </c>
      <c r="E14">
        <v>11</v>
      </c>
      <c r="F14">
        <v>0</v>
      </c>
      <c r="G14" t="s">
        <v>46</v>
      </c>
      <c r="H14">
        <v>9.54325870005413</v>
      </c>
      <c r="I14" t="s">
        <v>45</v>
      </c>
      <c r="J14">
        <v>0</v>
      </c>
      <c r="K14">
        <v>11</v>
      </c>
      <c r="L14">
        <v>11</v>
      </c>
      <c r="M14">
        <v>9</v>
      </c>
      <c r="N14">
        <v>78.500446600024503</v>
      </c>
      <c r="S14">
        <v>78.493057499988893</v>
      </c>
      <c r="T14">
        <v>78.500446600024503</v>
      </c>
      <c r="U14">
        <v>79.500678700045597</v>
      </c>
      <c r="V14">
        <v>79.500678700045597</v>
      </c>
      <c r="W14">
        <v>79.500678700045597</v>
      </c>
      <c r="X14">
        <v>89.052024999982606</v>
      </c>
      <c r="Y14" t="s">
        <v>46</v>
      </c>
      <c r="Z14">
        <v>9.54325870005413</v>
      </c>
      <c r="AA14" t="s">
        <v>45</v>
      </c>
      <c r="AF14" t="s">
        <v>39</v>
      </c>
      <c r="AG14">
        <v>1</v>
      </c>
      <c r="AH14" t="s">
        <v>40</v>
      </c>
      <c r="AI14" t="s">
        <v>41</v>
      </c>
      <c r="AK14" t="s">
        <v>42</v>
      </c>
      <c r="AL14">
        <v>60.129109226439297</v>
      </c>
      <c r="AM14" t="s">
        <v>43</v>
      </c>
    </row>
    <row r="15" spans="1:39" x14ac:dyDescent="0.35">
      <c r="A15">
        <v>90</v>
      </c>
      <c r="B15">
        <v>135</v>
      </c>
      <c r="C15">
        <v>160</v>
      </c>
      <c r="D15">
        <v>12</v>
      </c>
      <c r="E15">
        <v>12</v>
      </c>
      <c r="F15">
        <v>0</v>
      </c>
      <c r="G15" t="s">
        <v>46</v>
      </c>
      <c r="H15">
        <v>4.1685233000898698</v>
      </c>
      <c r="I15" t="s">
        <v>45</v>
      </c>
      <c r="J15">
        <v>0</v>
      </c>
      <c r="K15">
        <v>12</v>
      </c>
      <c r="L15">
        <v>12</v>
      </c>
      <c r="M15">
        <v>39</v>
      </c>
      <c r="N15">
        <v>89.067104100016806</v>
      </c>
      <c r="S15">
        <v>89.059514500084305</v>
      </c>
      <c r="T15">
        <v>89.067104100016806</v>
      </c>
      <c r="U15">
        <v>90.066991000087</v>
      </c>
      <c r="V15">
        <v>90.066991000087</v>
      </c>
      <c r="W15">
        <v>90.066991000087</v>
      </c>
      <c r="X15">
        <v>94.250855599995703</v>
      </c>
      <c r="Y15" t="s">
        <v>46</v>
      </c>
      <c r="Z15">
        <v>4.1685233000898698</v>
      </c>
      <c r="AA15" t="s">
        <v>45</v>
      </c>
      <c r="AF15" t="s">
        <v>39</v>
      </c>
      <c r="AG15">
        <v>1</v>
      </c>
      <c r="AH15" t="s">
        <v>40</v>
      </c>
      <c r="AI15" t="s">
        <v>41</v>
      </c>
      <c r="AK15" t="s">
        <v>42</v>
      </c>
      <c r="AL15">
        <v>60.129109226439297</v>
      </c>
      <c r="AM15" t="s">
        <v>43</v>
      </c>
    </row>
    <row r="16" spans="1:39" x14ac:dyDescent="0.35">
      <c r="A16">
        <v>80</v>
      </c>
      <c r="B16">
        <v>175</v>
      </c>
      <c r="C16">
        <v>38</v>
      </c>
      <c r="D16">
        <v>13</v>
      </c>
      <c r="E16">
        <v>13</v>
      </c>
      <c r="F16">
        <v>0</v>
      </c>
      <c r="G16" t="s">
        <v>46</v>
      </c>
      <c r="H16">
        <v>2.3838744999375101</v>
      </c>
      <c r="I16" t="s">
        <v>45</v>
      </c>
      <c r="J16">
        <v>0</v>
      </c>
      <c r="K16">
        <v>13</v>
      </c>
      <c r="L16">
        <v>13</v>
      </c>
      <c r="M16">
        <v>80</v>
      </c>
      <c r="N16">
        <v>94.267830600030706</v>
      </c>
      <c r="S16">
        <v>94.263776400010101</v>
      </c>
      <c r="T16">
        <v>94.267830600030706</v>
      </c>
      <c r="U16">
        <v>95.251587000093394</v>
      </c>
      <c r="V16">
        <v>95.251587000093394</v>
      </c>
      <c r="W16">
        <v>95.266623200033706</v>
      </c>
      <c r="X16">
        <v>97.6508712000213</v>
      </c>
      <c r="Y16" t="s">
        <v>46</v>
      </c>
      <c r="Z16">
        <v>2.3838744999375101</v>
      </c>
      <c r="AA16" t="s">
        <v>45</v>
      </c>
      <c r="AF16" t="s">
        <v>39</v>
      </c>
      <c r="AG16">
        <v>1</v>
      </c>
      <c r="AH16" t="s">
        <v>40</v>
      </c>
      <c r="AI16" t="s">
        <v>41</v>
      </c>
      <c r="AK16" t="s">
        <v>42</v>
      </c>
      <c r="AL16">
        <v>60.129109226439297</v>
      </c>
      <c r="AM16" t="s">
        <v>43</v>
      </c>
    </row>
    <row r="17" spans="1:39" x14ac:dyDescent="0.35">
      <c r="A17">
        <v>118</v>
      </c>
      <c r="B17">
        <v>270</v>
      </c>
      <c r="C17">
        <v>57</v>
      </c>
      <c r="D17">
        <v>14</v>
      </c>
      <c r="E17">
        <v>14</v>
      </c>
      <c r="F17">
        <v>0</v>
      </c>
      <c r="G17" t="s">
        <v>46</v>
      </c>
      <c r="H17">
        <v>1.1412277999334</v>
      </c>
      <c r="I17" t="s">
        <v>45</v>
      </c>
      <c r="J17">
        <v>0</v>
      </c>
      <c r="K17">
        <v>14</v>
      </c>
      <c r="L17">
        <v>14</v>
      </c>
      <c r="M17">
        <v>99</v>
      </c>
      <c r="N17">
        <v>97.666612899978603</v>
      </c>
      <c r="S17">
        <v>97.660001000040197</v>
      </c>
      <c r="T17">
        <v>97.666612899978603</v>
      </c>
      <c r="U17">
        <v>98.666593500063698</v>
      </c>
      <c r="V17">
        <v>98.666593500063698</v>
      </c>
      <c r="W17">
        <v>98.666593500063698</v>
      </c>
      <c r="X17">
        <v>99.817915000021401</v>
      </c>
      <c r="Y17" t="s">
        <v>46</v>
      </c>
      <c r="Z17">
        <v>1.1412277999334</v>
      </c>
      <c r="AA17" t="s">
        <v>45</v>
      </c>
      <c r="AF17" t="s">
        <v>39</v>
      </c>
      <c r="AG17">
        <v>1</v>
      </c>
      <c r="AH17" t="s">
        <v>40</v>
      </c>
      <c r="AI17" t="s">
        <v>41</v>
      </c>
      <c r="AK17" t="s">
        <v>42</v>
      </c>
      <c r="AL17">
        <v>60.129109226439297</v>
      </c>
      <c r="AM17" t="s">
        <v>43</v>
      </c>
    </row>
    <row r="18" spans="1:39" x14ac:dyDescent="0.35">
      <c r="A18">
        <v>42</v>
      </c>
      <c r="B18">
        <v>84</v>
      </c>
      <c r="C18">
        <v>19</v>
      </c>
      <c r="D18">
        <v>15</v>
      </c>
      <c r="E18">
        <v>15</v>
      </c>
      <c r="F18">
        <v>0</v>
      </c>
      <c r="G18" t="s">
        <v>46</v>
      </c>
      <c r="H18">
        <v>1.55870369996409</v>
      </c>
      <c r="I18" t="s">
        <v>45</v>
      </c>
      <c r="J18">
        <v>0</v>
      </c>
      <c r="K18">
        <v>15</v>
      </c>
      <c r="L18">
        <v>15</v>
      </c>
      <c r="M18">
        <v>61</v>
      </c>
      <c r="N18">
        <v>99.833422300056498</v>
      </c>
      <c r="S18">
        <v>99.824765300028901</v>
      </c>
      <c r="T18">
        <v>99.833422300056498</v>
      </c>
      <c r="U18">
        <v>100.834141000057</v>
      </c>
      <c r="V18">
        <v>100.834141000057</v>
      </c>
      <c r="W18">
        <v>100.834141000057</v>
      </c>
      <c r="X18">
        <v>102.401543300016</v>
      </c>
      <c r="Y18" t="s">
        <v>46</v>
      </c>
      <c r="Z18">
        <v>1.55870369996409</v>
      </c>
      <c r="AA18" t="s">
        <v>45</v>
      </c>
      <c r="AF18" t="s">
        <v>39</v>
      </c>
      <c r="AG18">
        <v>1</v>
      </c>
      <c r="AH18" t="s">
        <v>40</v>
      </c>
      <c r="AI18" t="s">
        <v>41</v>
      </c>
      <c r="AK18" t="s">
        <v>42</v>
      </c>
      <c r="AL18">
        <v>60.129109226439297</v>
      </c>
      <c r="AM18" t="s">
        <v>43</v>
      </c>
    </row>
    <row r="19" spans="1:39" x14ac:dyDescent="0.35">
      <c r="A19">
        <v>15</v>
      </c>
      <c r="B19">
        <v>35</v>
      </c>
      <c r="C19">
        <v>13</v>
      </c>
      <c r="D19">
        <v>16</v>
      </c>
      <c r="E19">
        <v>16</v>
      </c>
      <c r="F19">
        <v>0</v>
      </c>
      <c r="G19" t="s">
        <v>46</v>
      </c>
      <c r="H19">
        <v>1.6912133001023899</v>
      </c>
      <c r="I19" t="s">
        <v>45</v>
      </c>
      <c r="J19">
        <v>0</v>
      </c>
      <c r="K19">
        <v>16</v>
      </c>
      <c r="L19">
        <v>16</v>
      </c>
      <c r="M19">
        <v>1</v>
      </c>
      <c r="N19">
        <v>102.417280900059</v>
      </c>
      <c r="S19">
        <v>102.408138200058</v>
      </c>
      <c r="T19">
        <v>102.417280900059</v>
      </c>
      <c r="U19">
        <v>103.416631600004</v>
      </c>
      <c r="V19">
        <v>103.416631600004</v>
      </c>
      <c r="W19">
        <v>103.416631600004</v>
      </c>
      <c r="X19">
        <v>105.10889030003401</v>
      </c>
      <c r="Y19" t="s">
        <v>46</v>
      </c>
      <c r="Z19">
        <v>1.6912133001023899</v>
      </c>
      <c r="AA19" t="s">
        <v>45</v>
      </c>
      <c r="AF19" t="s">
        <v>39</v>
      </c>
      <c r="AG19">
        <v>1</v>
      </c>
      <c r="AH19" t="s">
        <v>40</v>
      </c>
      <c r="AI19" t="s">
        <v>41</v>
      </c>
      <c r="AK19" t="s">
        <v>42</v>
      </c>
      <c r="AL19">
        <v>60.129109226439297</v>
      </c>
      <c r="AM19" t="s">
        <v>43</v>
      </c>
    </row>
    <row r="20" spans="1:39" x14ac:dyDescent="0.35">
      <c r="A20">
        <v>110</v>
      </c>
      <c r="B20">
        <v>250</v>
      </c>
      <c r="C20">
        <v>53</v>
      </c>
      <c r="D20">
        <v>17</v>
      </c>
      <c r="E20">
        <v>17</v>
      </c>
      <c r="F20">
        <v>0</v>
      </c>
      <c r="G20" t="s">
        <v>44</v>
      </c>
      <c r="H20">
        <v>2.8627111000241698</v>
      </c>
      <c r="I20" t="s">
        <v>45</v>
      </c>
      <c r="J20">
        <v>0</v>
      </c>
      <c r="K20">
        <v>17</v>
      </c>
      <c r="L20">
        <v>17</v>
      </c>
      <c r="M20">
        <v>95</v>
      </c>
      <c r="N20">
        <v>105.119604600011</v>
      </c>
      <c r="S20">
        <v>105.116361199994</v>
      </c>
      <c r="T20">
        <v>105.119604600011</v>
      </c>
      <c r="U20">
        <v>106.11702750006199</v>
      </c>
      <c r="V20">
        <v>106.11702750006199</v>
      </c>
      <c r="W20">
        <v>106.11702750006199</v>
      </c>
      <c r="X20">
        <v>108.984075500047</v>
      </c>
      <c r="Y20" t="s">
        <v>44</v>
      </c>
      <c r="Z20">
        <v>2.8627111000241698</v>
      </c>
      <c r="AA20" t="s">
        <v>45</v>
      </c>
      <c r="AF20" t="s">
        <v>39</v>
      </c>
      <c r="AG20">
        <v>1</v>
      </c>
      <c r="AH20" t="s">
        <v>40</v>
      </c>
      <c r="AI20" t="s">
        <v>41</v>
      </c>
      <c r="AK20" t="s">
        <v>42</v>
      </c>
      <c r="AL20">
        <v>60.129109226439297</v>
      </c>
      <c r="AM20" t="s">
        <v>43</v>
      </c>
    </row>
    <row r="21" spans="1:39" x14ac:dyDescent="0.35">
      <c r="A21">
        <v>102</v>
      </c>
      <c r="B21">
        <v>230</v>
      </c>
      <c r="C21">
        <v>49</v>
      </c>
      <c r="D21">
        <v>18</v>
      </c>
      <c r="E21">
        <v>18</v>
      </c>
      <c r="F21">
        <v>0</v>
      </c>
      <c r="G21" t="s">
        <v>46</v>
      </c>
      <c r="H21">
        <v>0.98277060000691496</v>
      </c>
      <c r="I21" t="s">
        <v>45</v>
      </c>
      <c r="J21">
        <v>0</v>
      </c>
      <c r="K21">
        <v>18</v>
      </c>
      <c r="L21">
        <v>18</v>
      </c>
      <c r="M21">
        <v>91</v>
      </c>
      <c r="N21">
        <v>108.999933100072</v>
      </c>
      <c r="S21">
        <v>108.99163669999599</v>
      </c>
      <c r="T21">
        <v>108.999933100072</v>
      </c>
      <c r="U21">
        <v>109.999759000027</v>
      </c>
      <c r="V21">
        <v>109.999759000027</v>
      </c>
      <c r="W21">
        <v>109.999759000027</v>
      </c>
      <c r="X21">
        <v>110.98396910005199</v>
      </c>
      <c r="Y21" t="s">
        <v>46</v>
      </c>
      <c r="Z21">
        <v>0.98277060000691496</v>
      </c>
      <c r="AA21" t="s">
        <v>45</v>
      </c>
      <c r="AF21" t="s">
        <v>39</v>
      </c>
      <c r="AG21">
        <v>1</v>
      </c>
      <c r="AH21" t="s">
        <v>40</v>
      </c>
      <c r="AI21" t="s">
        <v>41</v>
      </c>
      <c r="AK21" t="s">
        <v>42</v>
      </c>
      <c r="AL21">
        <v>60.129109226439297</v>
      </c>
      <c r="AM21" t="s">
        <v>43</v>
      </c>
    </row>
    <row r="22" spans="1:39" x14ac:dyDescent="0.35">
      <c r="A22">
        <v>82</v>
      </c>
      <c r="B22">
        <v>115</v>
      </c>
      <c r="C22">
        <v>140</v>
      </c>
      <c r="D22">
        <v>19</v>
      </c>
      <c r="E22">
        <v>19</v>
      </c>
      <c r="F22">
        <v>0</v>
      </c>
      <c r="G22" t="s">
        <v>46</v>
      </c>
      <c r="H22">
        <v>2.52045599999837</v>
      </c>
      <c r="I22" t="s">
        <v>45</v>
      </c>
      <c r="J22">
        <v>0</v>
      </c>
      <c r="K22">
        <v>19</v>
      </c>
      <c r="L22">
        <v>19</v>
      </c>
      <c r="M22">
        <v>35</v>
      </c>
      <c r="N22">
        <v>111.00062240008199</v>
      </c>
      <c r="S22">
        <v>110.99064199998899</v>
      </c>
      <c r="T22">
        <v>111.00062240008199</v>
      </c>
      <c r="U22">
        <v>111.983847400057</v>
      </c>
      <c r="V22">
        <v>111.983847400057</v>
      </c>
      <c r="W22">
        <v>112.000036400044</v>
      </c>
      <c r="X22">
        <v>114.517506300006</v>
      </c>
      <c r="Y22" t="s">
        <v>46</v>
      </c>
      <c r="Z22">
        <v>2.52045599999837</v>
      </c>
      <c r="AA22" t="s">
        <v>45</v>
      </c>
      <c r="AF22" t="s">
        <v>39</v>
      </c>
      <c r="AG22">
        <v>1</v>
      </c>
      <c r="AH22" t="s">
        <v>40</v>
      </c>
      <c r="AI22" t="s">
        <v>41</v>
      </c>
      <c r="AK22" t="s">
        <v>42</v>
      </c>
      <c r="AL22">
        <v>60.129109226439297</v>
      </c>
      <c r="AM22" t="s">
        <v>43</v>
      </c>
    </row>
    <row r="23" spans="1:39" x14ac:dyDescent="0.35">
      <c r="A23">
        <v>98</v>
      </c>
      <c r="B23">
        <v>220</v>
      </c>
      <c r="C23">
        <v>47</v>
      </c>
      <c r="D23">
        <v>20</v>
      </c>
      <c r="E23">
        <v>20</v>
      </c>
      <c r="F23">
        <v>0</v>
      </c>
      <c r="G23" t="s">
        <v>44</v>
      </c>
      <c r="H23">
        <v>2.3407050999812702</v>
      </c>
      <c r="I23" t="s">
        <v>45</v>
      </c>
      <c r="J23">
        <v>0</v>
      </c>
      <c r="K23">
        <v>20</v>
      </c>
      <c r="L23">
        <v>20</v>
      </c>
      <c r="M23">
        <v>89</v>
      </c>
      <c r="N23">
        <v>114.532847300055</v>
      </c>
      <c r="S23">
        <v>114.526630399981</v>
      </c>
      <c r="T23">
        <v>114.532847300055</v>
      </c>
      <c r="U23">
        <v>115.516402299981</v>
      </c>
      <c r="V23">
        <v>115.516402299981</v>
      </c>
      <c r="W23">
        <v>115.533140300074</v>
      </c>
      <c r="X23">
        <v>117.867942700046</v>
      </c>
      <c r="Y23" t="s">
        <v>44</v>
      </c>
      <c r="Z23">
        <v>2.3407050999812702</v>
      </c>
      <c r="AA23" t="s">
        <v>45</v>
      </c>
      <c r="AF23" t="s">
        <v>39</v>
      </c>
      <c r="AG23">
        <v>1</v>
      </c>
      <c r="AH23" t="s">
        <v>40</v>
      </c>
      <c r="AI23" t="s">
        <v>41</v>
      </c>
      <c r="AK23" t="s">
        <v>42</v>
      </c>
      <c r="AL23">
        <v>60.129109226439297</v>
      </c>
      <c r="AM23" t="s">
        <v>43</v>
      </c>
    </row>
    <row r="24" spans="1:39" x14ac:dyDescent="0.35">
      <c r="A24">
        <v>53</v>
      </c>
      <c r="B24">
        <v>78</v>
      </c>
      <c r="C24">
        <v>70</v>
      </c>
      <c r="D24">
        <v>21</v>
      </c>
      <c r="E24">
        <v>21</v>
      </c>
      <c r="F24">
        <v>0</v>
      </c>
      <c r="G24" t="s">
        <v>46</v>
      </c>
      <c r="H24">
        <v>4.81894659996032</v>
      </c>
      <c r="I24" t="s">
        <v>45</v>
      </c>
      <c r="J24">
        <v>0</v>
      </c>
      <c r="K24">
        <v>21</v>
      </c>
      <c r="L24">
        <v>21</v>
      </c>
      <c r="M24">
        <v>21</v>
      </c>
      <c r="N24">
        <v>117.88341360003599</v>
      </c>
      <c r="S24">
        <v>117.875896700075</v>
      </c>
      <c r="T24">
        <v>117.88341360003599</v>
      </c>
      <c r="U24">
        <v>118.883612900041</v>
      </c>
      <c r="V24">
        <v>118.883612900041</v>
      </c>
      <c r="W24">
        <v>118.883612900041</v>
      </c>
      <c r="X24">
        <v>123.717550800065</v>
      </c>
      <c r="Y24" t="s">
        <v>46</v>
      </c>
      <c r="Z24">
        <v>4.81894659996032</v>
      </c>
      <c r="AA24" t="s">
        <v>45</v>
      </c>
      <c r="AF24" t="s">
        <v>39</v>
      </c>
      <c r="AG24">
        <v>1</v>
      </c>
      <c r="AH24" t="s">
        <v>40</v>
      </c>
      <c r="AI24" t="s">
        <v>41</v>
      </c>
      <c r="AK24" t="s">
        <v>42</v>
      </c>
      <c r="AL24">
        <v>60.129109226439297</v>
      </c>
      <c r="AM24" t="s">
        <v>43</v>
      </c>
    </row>
    <row r="25" spans="1:39" x14ac:dyDescent="0.35">
      <c r="A25">
        <v>62</v>
      </c>
      <c r="B25">
        <v>130</v>
      </c>
      <c r="C25">
        <v>29</v>
      </c>
      <c r="D25">
        <v>22</v>
      </c>
      <c r="E25">
        <v>22</v>
      </c>
      <c r="F25">
        <v>0</v>
      </c>
      <c r="G25" t="s">
        <v>46</v>
      </c>
      <c r="H25">
        <v>6.7395656999433404</v>
      </c>
      <c r="I25" t="s">
        <v>45</v>
      </c>
      <c r="J25">
        <v>0</v>
      </c>
      <c r="K25">
        <v>22</v>
      </c>
      <c r="L25">
        <v>22</v>
      </c>
      <c r="M25">
        <v>71</v>
      </c>
      <c r="N25">
        <v>123.732906799996</v>
      </c>
      <c r="S25">
        <v>123.724009199999</v>
      </c>
      <c r="T25">
        <v>123.732906799996</v>
      </c>
      <c r="U25">
        <v>124.73286069999401</v>
      </c>
      <c r="V25">
        <v>124.73286069999401</v>
      </c>
      <c r="W25">
        <v>124.73286069999401</v>
      </c>
      <c r="X25">
        <v>131.48365419998299</v>
      </c>
      <c r="Y25" t="s">
        <v>46</v>
      </c>
      <c r="Z25">
        <v>6.7395656999433404</v>
      </c>
      <c r="AA25" t="s">
        <v>45</v>
      </c>
      <c r="AF25" t="s">
        <v>39</v>
      </c>
      <c r="AG25">
        <v>1</v>
      </c>
      <c r="AH25" t="s">
        <v>40</v>
      </c>
      <c r="AI25" t="s">
        <v>41</v>
      </c>
      <c r="AK25" t="s">
        <v>42</v>
      </c>
      <c r="AL25">
        <v>60.129109226439297</v>
      </c>
      <c r="AM25" t="s">
        <v>43</v>
      </c>
    </row>
    <row r="26" spans="1:39" x14ac:dyDescent="0.35">
      <c r="A26">
        <v>86</v>
      </c>
      <c r="B26">
        <v>125</v>
      </c>
      <c r="C26">
        <v>150</v>
      </c>
      <c r="D26">
        <v>23</v>
      </c>
      <c r="E26">
        <v>23</v>
      </c>
      <c r="F26">
        <v>0</v>
      </c>
      <c r="G26" t="s">
        <v>44</v>
      </c>
      <c r="H26">
        <v>2.66510199999902</v>
      </c>
      <c r="I26" t="s">
        <v>45</v>
      </c>
      <c r="J26">
        <v>0</v>
      </c>
      <c r="K26">
        <v>23</v>
      </c>
      <c r="L26">
        <v>23</v>
      </c>
      <c r="M26">
        <v>37</v>
      </c>
      <c r="N26">
        <v>131.49945360002999</v>
      </c>
      <c r="S26">
        <v>131.490677800029</v>
      </c>
      <c r="T26">
        <v>131.49945360002999</v>
      </c>
      <c r="U26">
        <v>132.483385500032</v>
      </c>
      <c r="V26">
        <v>132.483385500032</v>
      </c>
      <c r="W26">
        <v>132.49990340007901</v>
      </c>
      <c r="X26">
        <v>135.15085370000401</v>
      </c>
      <c r="Y26" t="s">
        <v>44</v>
      </c>
      <c r="Z26">
        <v>2.66510199999902</v>
      </c>
      <c r="AA26" t="s">
        <v>45</v>
      </c>
      <c r="AF26" t="s">
        <v>39</v>
      </c>
      <c r="AG26">
        <v>1</v>
      </c>
      <c r="AH26" t="s">
        <v>40</v>
      </c>
      <c r="AI26" t="s">
        <v>41</v>
      </c>
      <c r="AK26" t="s">
        <v>42</v>
      </c>
      <c r="AL26">
        <v>60.129109226439297</v>
      </c>
      <c r="AM26" t="s">
        <v>43</v>
      </c>
    </row>
    <row r="27" spans="1:39" x14ac:dyDescent="0.35">
      <c r="A27">
        <v>40</v>
      </c>
      <c r="B27">
        <v>80</v>
      </c>
      <c r="C27">
        <v>18</v>
      </c>
      <c r="D27">
        <v>24</v>
      </c>
      <c r="E27">
        <v>24</v>
      </c>
      <c r="F27">
        <v>0</v>
      </c>
      <c r="G27" t="s">
        <v>46</v>
      </c>
      <c r="H27">
        <v>2.0095593999139898</v>
      </c>
      <c r="I27" t="s">
        <v>45</v>
      </c>
      <c r="J27">
        <v>0</v>
      </c>
      <c r="K27">
        <v>24</v>
      </c>
      <c r="L27">
        <v>24</v>
      </c>
      <c r="M27">
        <v>60</v>
      </c>
      <c r="N27">
        <v>135.16604360006701</v>
      </c>
      <c r="S27">
        <v>135.16025130008299</v>
      </c>
      <c r="T27">
        <v>135.16604360006701</v>
      </c>
      <c r="U27">
        <v>136.15041680005299</v>
      </c>
      <c r="V27">
        <v>136.15041680005299</v>
      </c>
      <c r="W27">
        <v>136.166738400002</v>
      </c>
      <c r="X27">
        <v>138.16767250001399</v>
      </c>
      <c r="Y27" t="s">
        <v>46</v>
      </c>
      <c r="Z27">
        <v>2.0095593999139898</v>
      </c>
      <c r="AA27" t="s">
        <v>45</v>
      </c>
      <c r="AF27" t="s">
        <v>39</v>
      </c>
      <c r="AG27">
        <v>1</v>
      </c>
      <c r="AH27" t="s">
        <v>40</v>
      </c>
      <c r="AI27" t="s">
        <v>41</v>
      </c>
      <c r="AK27" t="s">
        <v>42</v>
      </c>
      <c r="AL27">
        <v>60.129109226439297</v>
      </c>
      <c r="AM27" t="s">
        <v>43</v>
      </c>
    </row>
    <row r="28" spans="1:39" x14ac:dyDescent="0.35">
      <c r="A28">
        <v>58</v>
      </c>
      <c r="B28">
        <v>120</v>
      </c>
      <c r="C28">
        <v>27</v>
      </c>
      <c r="D28">
        <v>25</v>
      </c>
      <c r="E28">
        <v>25</v>
      </c>
      <c r="F28">
        <v>0</v>
      </c>
      <c r="G28" t="s">
        <v>44</v>
      </c>
      <c r="H28">
        <v>2.06821890000719</v>
      </c>
      <c r="I28" t="s">
        <v>45</v>
      </c>
      <c r="J28">
        <v>0</v>
      </c>
      <c r="K28">
        <v>25</v>
      </c>
      <c r="L28">
        <v>25</v>
      </c>
      <c r="M28">
        <v>69</v>
      </c>
      <c r="N28">
        <v>138.182975100004</v>
      </c>
      <c r="S28">
        <v>138.17512630007599</v>
      </c>
      <c r="T28">
        <v>138.182975100004</v>
      </c>
      <c r="U28">
        <v>139.18320570001299</v>
      </c>
      <c r="V28">
        <v>139.18320570001299</v>
      </c>
      <c r="W28">
        <v>139.18320570001299</v>
      </c>
      <c r="X28">
        <v>141.26843970001201</v>
      </c>
      <c r="Y28" t="s">
        <v>44</v>
      </c>
      <c r="Z28">
        <v>2.06821890000719</v>
      </c>
      <c r="AA28" t="s">
        <v>45</v>
      </c>
      <c r="AF28" t="s">
        <v>39</v>
      </c>
      <c r="AG28">
        <v>1</v>
      </c>
      <c r="AH28" t="s">
        <v>40</v>
      </c>
      <c r="AI28" t="s">
        <v>41</v>
      </c>
      <c r="AK28" t="s">
        <v>42</v>
      </c>
      <c r="AL28">
        <v>60.129109226439297</v>
      </c>
      <c r="AM28" t="s">
        <v>43</v>
      </c>
    </row>
    <row r="29" spans="1:39" x14ac:dyDescent="0.35">
      <c r="A29">
        <v>47</v>
      </c>
      <c r="B29">
        <v>74</v>
      </c>
      <c r="C29">
        <v>60</v>
      </c>
      <c r="D29">
        <v>26</v>
      </c>
      <c r="E29">
        <v>26</v>
      </c>
      <c r="F29">
        <v>0</v>
      </c>
      <c r="G29" t="s">
        <v>46</v>
      </c>
      <c r="H29">
        <v>3.1241833999520101</v>
      </c>
      <c r="I29" t="s">
        <v>45</v>
      </c>
      <c r="J29">
        <v>0</v>
      </c>
      <c r="K29">
        <v>26</v>
      </c>
      <c r="L29">
        <v>26</v>
      </c>
      <c r="M29">
        <v>19</v>
      </c>
      <c r="N29">
        <v>141.282512600068</v>
      </c>
      <c r="S29">
        <v>141.27519920002601</v>
      </c>
      <c r="T29">
        <v>141.282512600068</v>
      </c>
      <c r="U29">
        <v>142.28252420003901</v>
      </c>
      <c r="V29">
        <v>142.28252420003901</v>
      </c>
      <c r="W29">
        <v>142.28252420003901</v>
      </c>
      <c r="X29">
        <v>145.41751759999801</v>
      </c>
      <c r="Y29" t="s">
        <v>46</v>
      </c>
      <c r="Z29">
        <v>3.1241833999520101</v>
      </c>
      <c r="AA29" t="s">
        <v>45</v>
      </c>
      <c r="AF29" t="s">
        <v>39</v>
      </c>
      <c r="AG29">
        <v>1</v>
      </c>
      <c r="AH29" t="s">
        <v>40</v>
      </c>
      <c r="AI29" t="s">
        <v>41</v>
      </c>
      <c r="AK29" t="s">
        <v>42</v>
      </c>
      <c r="AL29">
        <v>60.129109226439297</v>
      </c>
      <c r="AM29" t="s">
        <v>43</v>
      </c>
    </row>
    <row r="30" spans="1:39" x14ac:dyDescent="0.35">
      <c r="A30">
        <v>66</v>
      </c>
      <c r="B30">
        <v>90</v>
      </c>
      <c r="C30">
        <v>100</v>
      </c>
      <c r="D30">
        <v>27</v>
      </c>
      <c r="E30">
        <v>27</v>
      </c>
      <c r="F30">
        <v>0</v>
      </c>
      <c r="G30" t="s">
        <v>44</v>
      </c>
      <c r="H30">
        <v>2.1863971999846399</v>
      </c>
      <c r="I30" t="s">
        <v>45</v>
      </c>
      <c r="J30">
        <v>0</v>
      </c>
      <c r="K30">
        <v>27</v>
      </c>
      <c r="L30">
        <v>27</v>
      </c>
      <c r="M30">
        <v>27</v>
      </c>
      <c r="N30">
        <v>145.43269719998301</v>
      </c>
      <c r="S30">
        <v>145.42502990004101</v>
      </c>
      <c r="T30">
        <v>145.43269719998301</v>
      </c>
      <c r="U30">
        <v>146.432775299996</v>
      </c>
      <c r="V30">
        <v>146.432775299996</v>
      </c>
      <c r="W30">
        <v>146.432775299996</v>
      </c>
      <c r="X30">
        <v>148.633442400023</v>
      </c>
      <c r="Y30" t="s">
        <v>44</v>
      </c>
      <c r="Z30">
        <v>2.1863971999846399</v>
      </c>
      <c r="AA30" t="s">
        <v>45</v>
      </c>
      <c r="AF30" t="s">
        <v>39</v>
      </c>
      <c r="AG30">
        <v>1</v>
      </c>
      <c r="AH30" t="s">
        <v>40</v>
      </c>
      <c r="AI30" t="s">
        <v>41</v>
      </c>
      <c r="AK30" t="s">
        <v>42</v>
      </c>
      <c r="AL30">
        <v>60.129109226439297</v>
      </c>
      <c r="AM30" t="s">
        <v>43</v>
      </c>
    </row>
    <row r="31" spans="1:39" x14ac:dyDescent="0.35">
      <c r="A31">
        <v>116</v>
      </c>
      <c r="B31">
        <v>265</v>
      </c>
      <c r="C31">
        <v>56</v>
      </c>
      <c r="D31">
        <v>28</v>
      </c>
      <c r="E31">
        <v>28</v>
      </c>
      <c r="F31">
        <v>0</v>
      </c>
      <c r="G31" t="s">
        <v>44</v>
      </c>
      <c r="H31">
        <v>1.5501422000816001</v>
      </c>
      <c r="I31" t="s">
        <v>45</v>
      </c>
      <c r="J31">
        <v>0</v>
      </c>
      <c r="K31">
        <v>28</v>
      </c>
      <c r="L31">
        <v>28</v>
      </c>
      <c r="M31">
        <v>98</v>
      </c>
      <c r="N31">
        <v>148.649364000069</v>
      </c>
      <c r="S31">
        <v>148.64002839999699</v>
      </c>
      <c r="T31">
        <v>148.649364000069</v>
      </c>
      <c r="U31">
        <v>149.63246180000701</v>
      </c>
      <c r="V31">
        <v>149.63246180000701</v>
      </c>
      <c r="W31">
        <v>149.649037100025</v>
      </c>
      <c r="X31">
        <v>151.18348500004501</v>
      </c>
      <c r="Y31" t="s">
        <v>44</v>
      </c>
      <c r="Z31">
        <v>1.5501422000816001</v>
      </c>
      <c r="AA31" t="s">
        <v>45</v>
      </c>
      <c r="AF31" t="s">
        <v>39</v>
      </c>
      <c r="AG31">
        <v>1</v>
      </c>
      <c r="AH31" t="s">
        <v>40</v>
      </c>
      <c r="AI31" t="s">
        <v>41</v>
      </c>
      <c r="AK31" t="s">
        <v>42</v>
      </c>
      <c r="AL31">
        <v>60.129109226439297</v>
      </c>
      <c r="AM31" t="s">
        <v>43</v>
      </c>
    </row>
    <row r="32" spans="1:39" x14ac:dyDescent="0.35">
      <c r="A32">
        <v>70</v>
      </c>
      <c r="B32">
        <v>94</v>
      </c>
      <c r="C32">
        <v>110</v>
      </c>
      <c r="D32">
        <v>29</v>
      </c>
      <c r="E32">
        <v>29</v>
      </c>
      <c r="F32">
        <v>0</v>
      </c>
      <c r="G32" t="s">
        <v>44</v>
      </c>
      <c r="H32">
        <v>1.6102564999600799</v>
      </c>
      <c r="I32" t="s">
        <v>45</v>
      </c>
      <c r="J32">
        <v>0</v>
      </c>
      <c r="K32">
        <v>29</v>
      </c>
      <c r="L32">
        <v>29</v>
      </c>
      <c r="M32">
        <v>29</v>
      </c>
      <c r="N32">
        <v>151.19942210009299</v>
      </c>
      <c r="S32">
        <v>151.19131979998201</v>
      </c>
      <c r="T32">
        <v>151.19942210009299</v>
      </c>
      <c r="U32">
        <v>152.18293850007399</v>
      </c>
      <c r="V32">
        <v>152.18293850007399</v>
      </c>
      <c r="W32">
        <v>152.19948509999</v>
      </c>
      <c r="X32">
        <v>153.799927800078</v>
      </c>
      <c r="Y32" t="s">
        <v>44</v>
      </c>
      <c r="Z32">
        <v>1.6102564999600799</v>
      </c>
      <c r="AA32" t="s">
        <v>45</v>
      </c>
      <c r="AF32" t="s">
        <v>39</v>
      </c>
      <c r="AG32">
        <v>1</v>
      </c>
      <c r="AH32" t="s">
        <v>40</v>
      </c>
      <c r="AI32" t="s">
        <v>41</v>
      </c>
      <c r="AK32" t="s">
        <v>42</v>
      </c>
      <c r="AL32">
        <v>60.129109226439297</v>
      </c>
      <c r="AM32" t="s">
        <v>43</v>
      </c>
    </row>
    <row r="33" spans="1:39" x14ac:dyDescent="0.35">
      <c r="A33">
        <v>114</v>
      </c>
      <c r="B33">
        <v>260</v>
      </c>
      <c r="C33">
        <v>55</v>
      </c>
      <c r="D33">
        <v>30</v>
      </c>
      <c r="E33">
        <v>30</v>
      </c>
      <c r="F33">
        <v>0</v>
      </c>
      <c r="G33" t="s">
        <v>46</v>
      </c>
      <c r="H33">
        <v>1.72553679998964</v>
      </c>
      <c r="I33" t="s">
        <v>45</v>
      </c>
      <c r="J33">
        <v>0</v>
      </c>
      <c r="K33">
        <v>30</v>
      </c>
      <c r="L33">
        <v>30</v>
      </c>
      <c r="M33">
        <v>97</v>
      </c>
      <c r="N33">
        <v>153.81557289999901</v>
      </c>
      <c r="S33">
        <v>153.80921430001001</v>
      </c>
      <c r="T33">
        <v>153.81557289999901</v>
      </c>
      <c r="U33">
        <v>154.79963250004201</v>
      </c>
      <c r="V33">
        <v>154.79963250004201</v>
      </c>
      <c r="W33">
        <v>154.81586079997899</v>
      </c>
      <c r="X33">
        <v>156.53411810006901</v>
      </c>
      <c r="Y33" t="s">
        <v>46</v>
      </c>
      <c r="Z33">
        <v>1.72553679998964</v>
      </c>
      <c r="AA33" t="s">
        <v>45</v>
      </c>
      <c r="AF33" t="s">
        <v>39</v>
      </c>
      <c r="AG33">
        <v>1</v>
      </c>
      <c r="AH33" t="s">
        <v>40</v>
      </c>
      <c r="AI33" t="s">
        <v>41</v>
      </c>
      <c r="AK33" t="s">
        <v>42</v>
      </c>
      <c r="AL33">
        <v>60.129109226439297</v>
      </c>
      <c r="AM33" t="s">
        <v>43</v>
      </c>
    </row>
    <row r="34" spans="1:39" x14ac:dyDescent="0.35">
      <c r="A34">
        <v>82</v>
      </c>
      <c r="B34">
        <v>180</v>
      </c>
      <c r="C34">
        <v>39</v>
      </c>
      <c r="D34">
        <v>31</v>
      </c>
      <c r="E34">
        <v>31</v>
      </c>
      <c r="F34">
        <v>0</v>
      </c>
      <c r="G34" t="s">
        <v>46</v>
      </c>
      <c r="H34">
        <v>1.72774660005234</v>
      </c>
      <c r="I34" t="s">
        <v>45</v>
      </c>
      <c r="J34">
        <v>0</v>
      </c>
      <c r="K34">
        <v>31</v>
      </c>
      <c r="L34">
        <v>31</v>
      </c>
      <c r="M34">
        <v>81</v>
      </c>
      <c r="N34">
        <v>156.549439300084</v>
      </c>
      <c r="S34">
        <v>156.54183750005899</v>
      </c>
      <c r="T34">
        <v>156.549439300084</v>
      </c>
      <c r="U34">
        <v>157.54950070008601</v>
      </c>
      <c r="V34">
        <v>157.54950070008601</v>
      </c>
      <c r="W34">
        <v>157.54950070008601</v>
      </c>
      <c r="X34">
        <v>159.283415800076</v>
      </c>
      <c r="Y34" t="s">
        <v>46</v>
      </c>
      <c r="Z34">
        <v>1.72774660005234</v>
      </c>
      <c r="AA34" t="s">
        <v>45</v>
      </c>
      <c r="AF34" t="s">
        <v>39</v>
      </c>
      <c r="AG34">
        <v>1</v>
      </c>
      <c r="AH34" t="s">
        <v>40</v>
      </c>
      <c r="AI34" t="s">
        <v>41</v>
      </c>
      <c r="AK34" t="s">
        <v>42</v>
      </c>
      <c r="AL34">
        <v>60.129109226439297</v>
      </c>
      <c r="AM34" t="s">
        <v>43</v>
      </c>
    </row>
    <row r="35" spans="1:39" x14ac:dyDescent="0.35">
      <c r="A35">
        <v>10</v>
      </c>
      <c r="B35">
        <v>20</v>
      </c>
      <c r="C35">
        <v>3</v>
      </c>
      <c r="D35">
        <v>32</v>
      </c>
      <c r="E35">
        <v>32</v>
      </c>
      <c r="F35">
        <v>0</v>
      </c>
      <c r="G35" t="s">
        <v>44</v>
      </c>
      <c r="H35">
        <v>3.0832863000687198</v>
      </c>
      <c r="I35" t="s">
        <v>45</v>
      </c>
      <c r="J35">
        <v>0</v>
      </c>
      <c r="K35">
        <v>32</v>
      </c>
      <c r="L35">
        <v>32</v>
      </c>
      <c r="M35">
        <v>45</v>
      </c>
      <c r="N35">
        <v>159.299504099995</v>
      </c>
      <c r="S35">
        <v>159.29090690007399</v>
      </c>
      <c r="T35">
        <v>159.299504099995</v>
      </c>
      <c r="U35">
        <v>160.282876600045</v>
      </c>
      <c r="V35">
        <v>160.282876600045</v>
      </c>
      <c r="W35">
        <v>160.299426699988</v>
      </c>
      <c r="X35">
        <v>163.36776719999</v>
      </c>
      <c r="Y35" t="s">
        <v>44</v>
      </c>
      <c r="Z35">
        <v>3.0832863000687198</v>
      </c>
      <c r="AA35" t="s">
        <v>45</v>
      </c>
      <c r="AF35" t="s">
        <v>39</v>
      </c>
      <c r="AG35">
        <v>1</v>
      </c>
      <c r="AH35" t="s">
        <v>40</v>
      </c>
      <c r="AI35" t="s">
        <v>41</v>
      </c>
      <c r="AK35" t="s">
        <v>42</v>
      </c>
      <c r="AL35">
        <v>60.129109226439297</v>
      </c>
      <c r="AM35" t="s">
        <v>43</v>
      </c>
    </row>
    <row r="36" spans="1:39" x14ac:dyDescent="0.35">
      <c r="A36">
        <v>78</v>
      </c>
      <c r="B36">
        <v>170</v>
      </c>
      <c r="C36">
        <v>37</v>
      </c>
      <c r="D36">
        <v>33</v>
      </c>
      <c r="E36">
        <v>33</v>
      </c>
      <c r="F36">
        <v>0</v>
      </c>
      <c r="G36" t="s">
        <v>46</v>
      </c>
      <c r="H36">
        <v>3.6586917000822701</v>
      </c>
      <c r="I36" t="s">
        <v>45</v>
      </c>
      <c r="J36">
        <v>0</v>
      </c>
      <c r="K36">
        <v>33</v>
      </c>
      <c r="L36">
        <v>33</v>
      </c>
      <c r="M36">
        <v>79</v>
      </c>
      <c r="N36">
        <v>163.38257860008099</v>
      </c>
      <c r="S36">
        <v>163.37717340001799</v>
      </c>
      <c r="T36">
        <v>163.38257860008099</v>
      </c>
      <c r="U36">
        <v>164.38216040003999</v>
      </c>
      <c r="V36">
        <v>164.38216040003999</v>
      </c>
      <c r="W36">
        <v>164.38216040003999</v>
      </c>
      <c r="X36">
        <v>168.05018060002399</v>
      </c>
      <c r="Y36" t="s">
        <v>46</v>
      </c>
      <c r="Z36">
        <v>3.6586917000822701</v>
      </c>
      <c r="AA36" t="s">
        <v>45</v>
      </c>
      <c r="AF36" t="s">
        <v>39</v>
      </c>
      <c r="AG36">
        <v>1</v>
      </c>
      <c r="AH36" t="s">
        <v>40</v>
      </c>
      <c r="AI36" t="s">
        <v>41</v>
      </c>
      <c r="AK36" t="s">
        <v>42</v>
      </c>
      <c r="AL36">
        <v>60.129109226439297</v>
      </c>
      <c r="AM36" t="s">
        <v>43</v>
      </c>
    </row>
    <row r="37" spans="1:39" x14ac:dyDescent="0.35">
      <c r="A37">
        <v>50</v>
      </c>
      <c r="B37">
        <v>76</v>
      </c>
      <c r="C37">
        <v>65</v>
      </c>
      <c r="D37">
        <v>34</v>
      </c>
      <c r="E37">
        <v>34</v>
      </c>
      <c r="F37">
        <v>0</v>
      </c>
      <c r="G37" t="s">
        <v>46</v>
      </c>
      <c r="H37">
        <v>2.0410485999891499</v>
      </c>
      <c r="I37" t="s">
        <v>45</v>
      </c>
      <c r="J37">
        <v>0</v>
      </c>
      <c r="K37">
        <v>34</v>
      </c>
      <c r="L37">
        <v>34</v>
      </c>
      <c r="M37">
        <v>20</v>
      </c>
      <c r="N37">
        <v>168.065363300032</v>
      </c>
      <c r="S37">
        <v>168.05822540004701</v>
      </c>
      <c r="T37">
        <v>168.065363300032</v>
      </c>
      <c r="U37">
        <v>169.049046900006</v>
      </c>
      <c r="V37">
        <v>169.049046900006</v>
      </c>
      <c r="W37">
        <v>169.066079600015</v>
      </c>
      <c r="X37">
        <v>171.100417900015</v>
      </c>
      <c r="Y37" t="s">
        <v>46</v>
      </c>
      <c r="Z37">
        <v>2.0410485999891499</v>
      </c>
      <c r="AA37" t="s">
        <v>45</v>
      </c>
      <c r="AF37" t="s">
        <v>39</v>
      </c>
      <c r="AG37">
        <v>1</v>
      </c>
      <c r="AH37" t="s">
        <v>40</v>
      </c>
      <c r="AI37" t="s">
        <v>41</v>
      </c>
      <c r="AK37" t="s">
        <v>42</v>
      </c>
      <c r="AL37">
        <v>60.129109226439297</v>
      </c>
      <c r="AM37" t="s">
        <v>43</v>
      </c>
    </row>
    <row r="38" spans="1:39" x14ac:dyDescent="0.35">
      <c r="A38">
        <v>90</v>
      </c>
      <c r="B38">
        <v>200</v>
      </c>
      <c r="C38">
        <v>43</v>
      </c>
      <c r="D38">
        <v>35</v>
      </c>
      <c r="E38">
        <v>35</v>
      </c>
      <c r="F38">
        <v>0</v>
      </c>
      <c r="G38" t="s">
        <v>46</v>
      </c>
      <c r="H38">
        <v>3.33011729991994</v>
      </c>
      <c r="I38" t="s">
        <v>45</v>
      </c>
      <c r="J38">
        <v>0</v>
      </c>
      <c r="K38">
        <v>35</v>
      </c>
      <c r="L38">
        <v>35</v>
      </c>
      <c r="M38">
        <v>85</v>
      </c>
      <c r="N38">
        <v>171.11520150001101</v>
      </c>
      <c r="S38">
        <v>171.10984460008299</v>
      </c>
      <c r="T38">
        <v>171.11520150001101</v>
      </c>
      <c r="U38">
        <v>172.11611310008399</v>
      </c>
      <c r="V38">
        <v>172.11611310008399</v>
      </c>
      <c r="W38">
        <v>172.11611310008399</v>
      </c>
      <c r="X38">
        <v>175.449537900043</v>
      </c>
      <c r="Y38" t="s">
        <v>46</v>
      </c>
      <c r="Z38">
        <v>3.33011729991994</v>
      </c>
      <c r="AA38" t="s">
        <v>45</v>
      </c>
      <c r="AF38" t="s">
        <v>39</v>
      </c>
      <c r="AG38">
        <v>1</v>
      </c>
      <c r="AH38" t="s">
        <v>40</v>
      </c>
      <c r="AI38" t="s">
        <v>41</v>
      </c>
      <c r="AK38" t="s">
        <v>42</v>
      </c>
      <c r="AL38">
        <v>60.129109226439297</v>
      </c>
      <c r="AM38" t="s">
        <v>43</v>
      </c>
    </row>
    <row r="39" spans="1:39" x14ac:dyDescent="0.35">
      <c r="A39">
        <v>72</v>
      </c>
      <c r="B39">
        <v>96</v>
      </c>
      <c r="C39">
        <v>115</v>
      </c>
      <c r="D39">
        <v>36</v>
      </c>
      <c r="E39">
        <v>36</v>
      </c>
      <c r="F39">
        <v>0</v>
      </c>
      <c r="G39" t="s">
        <v>46</v>
      </c>
      <c r="H39">
        <v>2.6182416001101898</v>
      </c>
      <c r="I39" t="s">
        <v>45</v>
      </c>
      <c r="J39">
        <v>0</v>
      </c>
      <c r="K39">
        <v>36</v>
      </c>
      <c r="L39">
        <v>36</v>
      </c>
      <c r="M39">
        <v>30</v>
      </c>
      <c r="N39">
        <v>175.46519430004901</v>
      </c>
      <c r="S39">
        <v>175.46033919998399</v>
      </c>
      <c r="T39">
        <v>175.46519430004901</v>
      </c>
      <c r="U39">
        <v>176.44953230000101</v>
      </c>
      <c r="V39">
        <v>176.44953230000101</v>
      </c>
      <c r="W39">
        <v>176.465793600073</v>
      </c>
      <c r="X39">
        <v>179.08370770001699</v>
      </c>
      <c r="Y39" t="s">
        <v>46</v>
      </c>
      <c r="Z39">
        <v>2.6182416001101898</v>
      </c>
      <c r="AA39" t="s">
        <v>45</v>
      </c>
      <c r="AF39" t="s">
        <v>39</v>
      </c>
      <c r="AG39">
        <v>1</v>
      </c>
      <c r="AH39" t="s">
        <v>40</v>
      </c>
      <c r="AI39" t="s">
        <v>41</v>
      </c>
      <c r="AK39" t="s">
        <v>42</v>
      </c>
      <c r="AL39">
        <v>60.129109226439297</v>
      </c>
      <c r="AM39" t="s">
        <v>43</v>
      </c>
    </row>
    <row r="40" spans="1:39" x14ac:dyDescent="0.35">
      <c r="A40">
        <v>86</v>
      </c>
      <c r="B40">
        <v>190</v>
      </c>
      <c r="C40">
        <v>41</v>
      </c>
      <c r="D40">
        <v>37</v>
      </c>
      <c r="E40">
        <v>37</v>
      </c>
      <c r="F40">
        <v>0</v>
      </c>
      <c r="G40" t="s">
        <v>46</v>
      </c>
      <c r="H40">
        <v>3.8339417999377399</v>
      </c>
      <c r="I40" t="s">
        <v>45</v>
      </c>
      <c r="J40">
        <v>0</v>
      </c>
      <c r="K40">
        <v>37</v>
      </c>
      <c r="L40">
        <v>37</v>
      </c>
      <c r="M40">
        <v>83</v>
      </c>
      <c r="N40">
        <v>179.099003000068</v>
      </c>
      <c r="S40">
        <v>179.09303960006201</v>
      </c>
      <c r="T40">
        <v>179.099003000068</v>
      </c>
      <c r="U40">
        <v>180.099277000059</v>
      </c>
      <c r="V40">
        <v>180.099277000059</v>
      </c>
      <c r="W40">
        <v>180.099277000059</v>
      </c>
      <c r="X40">
        <v>183.949365500011</v>
      </c>
      <c r="Y40" t="s">
        <v>46</v>
      </c>
      <c r="Z40">
        <v>3.8339417999377399</v>
      </c>
      <c r="AA40" t="s">
        <v>45</v>
      </c>
      <c r="AF40" t="s">
        <v>39</v>
      </c>
      <c r="AG40">
        <v>1</v>
      </c>
      <c r="AH40" t="s">
        <v>40</v>
      </c>
      <c r="AI40" t="s">
        <v>41</v>
      </c>
      <c r="AK40" t="s">
        <v>42</v>
      </c>
      <c r="AL40">
        <v>60.129109226439297</v>
      </c>
      <c r="AM40" t="s">
        <v>43</v>
      </c>
    </row>
    <row r="41" spans="1:39" x14ac:dyDescent="0.35">
      <c r="A41">
        <v>11</v>
      </c>
      <c r="B41">
        <v>30</v>
      </c>
      <c r="C41">
        <v>7</v>
      </c>
      <c r="D41">
        <v>38</v>
      </c>
      <c r="E41">
        <v>38</v>
      </c>
      <c r="F41">
        <v>0</v>
      </c>
      <c r="G41" t="s">
        <v>46</v>
      </c>
      <c r="H41">
        <v>4.0258259999100101</v>
      </c>
      <c r="I41" t="s">
        <v>45</v>
      </c>
      <c r="J41">
        <v>0</v>
      </c>
      <c r="K41">
        <v>38</v>
      </c>
      <c r="L41">
        <v>38</v>
      </c>
      <c r="M41">
        <v>0</v>
      </c>
      <c r="N41">
        <v>183.96508850005901</v>
      </c>
      <c r="S41">
        <v>183.95588010002299</v>
      </c>
      <c r="T41">
        <v>183.96508850005901</v>
      </c>
      <c r="U41">
        <v>184.948858599993</v>
      </c>
      <c r="V41">
        <v>184.948858599993</v>
      </c>
      <c r="W41">
        <v>184.96559740009201</v>
      </c>
      <c r="X41">
        <v>188.982903700089</v>
      </c>
      <c r="Y41" t="s">
        <v>46</v>
      </c>
      <c r="Z41">
        <v>4.0258259999100101</v>
      </c>
      <c r="AA41" t="s">
        <v>45</v>
      </c>
      <c r="AF41" t="s">
        <v>39</v>
      </c>
      <c r="AG41">
        <v>1</v>
      </c>
      <c r="AH41" t="s">
        <v>40</v>
      </c>
      <c r="AI41" t="s">
        <v>41</v>
      </c>
      <c r="AK41" t="s">
        <v>42</v>
      </c>
      <c r="AL41">
        <v>60.129109226439297</v>
      </c>
      <c r="AM41" t="s">
        <v>43</v>
      </c>
    </row>
    <row r="42" spans="1:39" x14ac:dyDescent="0.35">
      <c r="A42">
        <v>96</v>
      </c>
      <c r="B42">
        <v>215</v>
      </c>
      <c r="C42">
        <v>46</v>
      </c>
      <c r="D42">
        <v>39</v>
      </c>
      <c r="E42">
        <v>39</v>
      </c>
      <c r="F42">
        <v>0</v>
      </c>
      <c r="G42" t="s">
        <v>46</v>
      </c>
      <c r="H42">
        <v>4.61707610008306</v>
      </c>
      <c r="I42" t="s">
        <v>45</v>
      </c>
      <c r="J42">
        <v>0</v>
      </c>
      <c r="K42">
        <v>39</v>
      </c>
      <c r="L42">
        <v>39</v>
      </c>
      <c r="M42">
        <v>88</v>
      </c>
      <c r="N42">
        <v>188.99874930002201</v>
      </c>
      <c r="S42">
        <v>188.99027020006901</v>
      </c>
      <c r="T42">
        <v>188.99874930002201</v>
      </c>
      <c r="U42">
        <v>189.98229180008599</v>
      </c>
      <c r="V42">
        <v>189.98229180008599</v>
      </c>
      <c r="W42">
        <v>189.99893430003399</v>
      </c>
      <c r="X42">
        <v>194.60000099998399</v>
      </c>
      <c r="Y42" t="s">
        <v>46</v>
      </c>
      <c r="Z42">
        <v>4.61707610008306</v>
      </c>
      <c r="AA42" t="s">
        <v>45</v>
      </c>
      <c r="AF42" t="s">
        <v>39</v>
      </c>
      <c r="AG42">
        <v>1</v>
      </c>
      <c r="AH42" t="s">
        <v>40</v>
      </c>
      <c r="AI42" t="s">
        <v>41</v>
      </c>
      <c r="AK42" t="s">
        <v>42</v>
      </c>
      <c r="AL42">
        <v>60.129109226439297</v>
      </c>
      <c r="AM42" t="s">
        <v>43</v>
      </c>
    </row>
    <row r="43" spans="1:39" x14ac:dyDescent="0.35">
      <c r="A43">
        <v>88</v>
      </c>
      <c r="B43">
        <v>195</v>
      </c>
      <c r="C43">
        <v>42</v>
      </c>
      <c r="D43">
        <v>40</v>
      </c>
      <c r="E43">
        <v>40</v>
      </c>
      <c r="F43">
        <v>0</v>
      </c>
      <c r="G43" t="s">
        <v>46</v>
      </c>
      <c r="H43">
        <v>6.0565721999155304</v>
      </c>
      <c r="I43" t="s">
        <v>45</v>
      </c>
      <c r="J43">
        <v>0</v>
      </c>
      <c r="K43">
        <v>40</v>
      </c>
      <c r="L43">
        <v>40</v>
      </c>
      <c r="M43">
        <v>84</v>
      </c>
      <c r="N43">
        <v>194.61493190005399</v>
      </c>
      <c r="S43">
        <v>194.609171000076</v>
      </c>
      <c r="T43">
        <v>194.61493190005399</v>
      </c>
      <c r="U43">
        <v>195.61549880006299</v>
      </c>
      <c r="V43">
        <v>195.61549880006299</v>
      </c>
      <c r="W43">
        <v>195.61549880006299</v>
      </c>
      <c r="X43">
        <v>201.68297980003899</v>
      </c>
      <c r="Y43" t="s">
        <v>46</v>
      </c>
      <c r="Z43">
        <v>6.0565721999155304</v>
      </c>
      <c r="AA43" t="s">
        <v>45</v>
      </c>
      <c r="AF43" t="s">
        <v>39</v>
      </c>
      <c r="AG43">
        <v>1</v>
      </c>
      <c r="AH43" t="s">
        <v>40</v>
      </c>
      <c r="AI43" t="s">
        <v>41</v>
      </c>
      <c r="AK43" t="s">
        <v>42</v>
      </c>
      <c r="AL43">
        <v>60.129109226439297</v>
      </c>
      <c r="AM43" t="s">
        <v>43</v>
      </c>
    </row>
    <row r="44" spans="1:39" x14ac:dyDescent="0.35">
      <c r="A44">
        <v>26</v>
      </c>
      <c r="B44">
        <v>52</v>
      </c>
      <c r="C44">
        <v>11</v>
      </c>
      <c r="D44">
        <v>41</v>
      </c>
      <c r="E44">
        <v>41</v>
      </c>
      <c r="F44">
        <v>0</v>
      </c>
      <c r="G44" t="s">
        <v>46</v>
      </c>
      <c r="H44">
        <v>1.9506757999770299</v>
      </c>
      <c r="I44" t="s">
        <v>45</v>
      </c>
      <c r="J44">
        <v>0</v>
      </c>
      <c r="K44">
        <v>41</v>
      </c>
      <c r="L44">
        <v>41</v>
      </c>
      <c r="M44">
        <v>53</v>
      </c>
      <c r="N44">
        <v>201.698452800046</v>
      </c>
      <c r="S44">
        <v>201.68964770005499</v>
      </c>
      <c r="T44">
        <v>201.698452800046</v>
      </c>
      <c r="U44">
        <v>202.681839700089</v>
      </c>
      <c r="V44">
        <v>202.681839700089</v>
      </c>
      <c r="W44">
        <v>202.698366900091</v>
      </c>
      <c r="X44">
        <v>204.63359990005799</v>
      </c>
      <c r="Y44" t="s">
        <v>46</v>
      </c>
      <c r="Z44">
        <v>1.9506757999770299</v>
      </c>
      <c r="AA44" t="s">
        <v>45</v>
      </c>
      <c r="AF44" t="s">
        <v>39</v>
      </c>
      <c r="AG44">
        <v>1</v>
      </c>
      <c r="AH44" t="s">
        <v>40</v>
      </c>
      <c r="AI44" t="s">
        <v>41</v>
      </c>
      <c r="AK44" t="s">
        <v>42</v>
      </c>
      <c r="AL44">
        <v>60.129109226439297</v>
      </c>
      <c r="AM44" t="s">
        <v>43</v>
      </c>
    </row>
    <row r="45" spans="1:39" x14ac:dyDescent="0.35">
      <c r="A45">
        <v>33</v>
      </c>
      <c r="B45">
        <v>55</v>
      </c>
      <c r="C45">
        <v>30</v>
      </c>
      <c r="D45">
        <v>42</v>
      </c>
      <c r="E45">
        <v>42</v>
      </c>
      <c r="F45">
        <v>0</v>
      </c>
      <c r="G45" t="s">
        <v>46</v>
      </c>
      <c r="H45">
        <v>4.2357147000730002</v>
      </c>
      <c r="I45" t="s">
        <v>45</v>
      </c>
      <c r="J45">
        <v>0</v>
      </c>
      <c r="K45">
        <v>42</v>
      </c>
      <c r="L45">
        <v>42</v>
      </c>
      <c r="M45">
        <v>13</v>
      </c>
      <c r="N45">
        <v>204.648399000056</v>
      </c>
      <c r="S45">
        <v>204.64044119999701</v>
      </c>
      <c r="T45">
        <v>204.648399000056</v>
      </c>
      <c r="U45">
        <v>205.648517500027</v>
      </c>
      <c r="V45">
        <v>205.648517500027</v>
      </c>
      <c r="W45">
        <v>205.648517500027</v>
      </c>
      <c r="X45">
        <v>209.89937480003499</v>
      </c>
      <c r="Y45" t="s">
        <v>46</v>
      </c>
      <c r="Z45">
        <v>4.2357147000730002</v>
      </c>
      <c r="AA45" t="s">
        <v>45</v>
      </c>
      <c r="AF45" t="s">
        <v>39</v>
      </c>
      <c r="AG45">
        <v>1</v>
      </c>
      <c r="AH45" t="s">
        <v>40</v>
      </c>
      <c r="AI45" t="s">
        <v>41</v>
      </c>
      <c r="AK45" t="s">
        <v>42</v>
      </c>
      <c r="AL45">
        <v>60.129109226439297</v>
      </c>
      <c r="AM45" t="s">
        <v>43</v>
      </c>
    </row>
    <row r="46" spans="1:39" x14ac:dyDescent="0.35">
      <c r="A46">
        <v>84</v>
      </c>
      <c r="B46">
        <v>185</v>
      </c>
      <c r="C46">
        <v>40</v>
      </c>
      <c r="D46">
        <v>43</v>
      </c>
      <c r="E46">
        <v>43</v>
      </c>
      <c r="F46">
        <v>0</v>
      </c>
      <c r="G46" t="s">
        <v>46</v>
      </c>
      <c r="H46">
        <v>2.0532322999788399</v>
      </c>
      <c r="I46" t="s">
        <v>45</v>
      </c>
      <c r="J46">
        <v>0</v>
      </c>
      <c r="K46">
        <v>43</v>
      </c>
      <c r="L46">
        <v>43</v>
      </c>
      <c r="M46">
        <v>82</v>
      </c>
      <c r="N46">
        <v>209.91476569999901</v>
      </c>
      <c r="S46">
        <v>209.90822990005799</v>
      </c>
      <c r="T46">
        <v>209.91476569999901</v>
      </c>
      <c r="U46">
        <v>210.91468679997999</v>
      </c>
      <c r="V46">
        <v>210.91468679997999</v>
      </c>
      <c r="W46">
        <v>210.91468679997999</v>
      </c>
      <c r="X46">
        <v>212.968863200047</v>
      </c>
      <c r="Y46" t="s">
        <v>46</v>
      </c>
      <c r="Z46">
        <v>2.0532322999788399</v>
      </c>
      <c r="AA46" t="s">
        <v>45</v>
      </c>
      <c r="AF46" t="s">
        <v>39</v>
      </c>
      <c r="AG46">
        <v>1</v>
      </c>
      <c r="AH46" t="s">
        <v>40</v>
      </c>
      <c r="AI46" t="s">
        <v>41</v>
      </c>
      <c r="AK46" t="s">
        <v>42</v>
      </c>
      <c r="AL46">
        <v>60.129109226439297</v>
      </c>
      <c r="AM46" t="s">
        <v>43</v>
      </c>
    </row>
    <row r="47" spans="1:39" x14ac:dyDescent="0.35">
      <c r="A47">
        <v>27</v>
      </c>
      <c r="B47">
        <v>50</v>
      </c>
      <c r="C47">
        <v>21</v>
      </c>
      <c r="D47">
        <v>44</v>
      </c>
      <c r="E47">
        <v>44</v>
      </c>
      <c r="F47">
        <v>0</v>
      </c>
      <c r="G47" t="s">
        <v>46</v>
      </c>
      <c r="H47">
        <v>2.6772676000837201</v>
      </c>
      <c r="I47" t="s">
        <v>45</v>
      </c>
      <c r="J47">
        <v>0</v>
      </c>
      <c r="K47">
        <v>44</v>
      </c>
      <c r="L47">
        <v>44</v>
      </c>
      <c r="M47">
        <v>2</v>
      </c>
      <c r="N47">
        <v>212.981540800072</v>
      </c>
      <c r="S47">
        <v>212.97645730001301</v>
      </c>
      <c r="T47">
        <v>212.981540800072</v>
      </c>
      <c r="U47">
        <v>213.98184040002499</v>
      </c>
      <c r="V47">
        <v>213.98184040002499</v>
      </c>
      <c r="W47">
        <v>213.98184040002499</v>
      </c>
      <c r="X47">
        <v>216.66590490005899</v>
      </c>
      <c r="Y47" t="s">
        <v>46</v>
      </c>
      <c r="Z47">
        <v>2.6772676000837201</v>
      </c>
      <c r="AA47" t="s">
        <v>45</v>
      </c>
      <c r="AF47" t="s">
        <v>39</v>
      </c>
      <c r="AG47">
        <v>1</v>
      </c>
      <c r="AH47" t="s">
        <v>40</v>
      </c>
      <c r="AI47" t="s">
        <v>41</v>
      </c>
      <c r="AK47" t="s">
        <v>42</v>
      </c>
      <c r="AL47">
        <v>60.129109226439297</v>
      </c>
      <c r="AM47" t="s">
        <v>43</v>
      </c>
    </row>
    <row r="48" spans="1:39" x14ac:dyDescent="0.35">
      <c r="A48">
        <v>39</v>
      </c>
      <c r="B48">
        <v>68</v>
      </c>
      <c r="C48">
        <v>45</v>
      </c>
      <c r="D48">
        <v>45</v>
      </c>
      <c r="E48">
        <v>45</v>
      </c>
      <c r="F48">
        <v>0</v>
      </c>
      <c r="G48" t="s">
        <v>46</v>
      </c>
      <c r="H48">
        <v>3.8755774000892398</v>
      </c>
      <c r="I48" t="s">
        <v>45</v>
      </c>
      <c r="J48">
        <v>0</v>
      </c>
      <c r="K48">
        <v>45</v>
      </c>
      <c r="L48">
        <v>45</v>
      </c>
      <c r="M48">
        <v>16</v>
      </c>
      <c r="N48">
        <v>216.68141180009101</v>
      </c>
      <c r="S48">
        <v>216.67373979999601</v>
      </c>
      <c r="T48">
        <v>216.68141180009101</v>
      </c>
      <c r="U48">
        <v>217.66538050002401</v>
      </c>
      <c r="V48">
        <v>217.66538050002401</v>
      </c>
      <c r="W48">
        <v>217.682374000083</v>
      </c>
      <c r="X48">
        <v>221.549717299989</v>
      </c>
      <c r="Y48" t="s">
        <v>46</v>
      </c>
      <c r="Z48">
        <v>3.8755774000892398</v>
      </c>
      <c r="AA48" t="s">
        <v>45</v>
      </c>
      <c r="AF48" t="s">
        <v>39</v>
      </c>
      <c r="AG48">
        <v>1</v>
      </c>
      <c r="AH48" t="s">
        <v>40</v>
      </c>
      <c r="AI48" t="s">
        <v>41</v>
      </c>
      <c r="AK48" t="s">
        <v>42</v>
      </c>
      <c r="AL48">
        <v>60.129109226439297</v>
      </c>
      <c r="AM48" t="s">
        <v>43</v>
      </c>
    </row>
    <row r="49" spans="1:39" x14ac:dyDescent="0.35">
      <c r="A49">
        <v>112</v>
      </c>
      <c r="B49">
        <v>255</v>
      </c>
      <c r="C49">
        <v>54</v>
      </c>
      <c r="D49">
        <v>46</v>
      </c>
      <c r="E49">
        <v>46</v>
      </c>
      <c r="F49">
        <v>0</v>
      </c>
      <c r="G49" t="s">
        <v>46</v>
      </c>
      <c r="H49">
        <v>6.2146166999591497</v>
      </c>
      <c r="I49" t="s">
        <v>45</v>
      </c>
      <c r="J49">
        <v>0</v>
      </c>
      <c r="K49">
        <v>46</v>
      </c>
      <c r="L49">
        <v>46</v>
      </c>
      <c r="M49">
        <v>96</v>
      </c>
      <c r="N49">
        <v>221.56446120003201</v>
      </c>
      <c r="S49">
        <v>221.55920680006901</v>
      </c>
      <c r="T49">
        <v>221.56446120003201</v>
      </c>
      <c r="U49">
        <v>222.56537329999199</v>
      </c>
      <c r="V49">
        <v>222.56537329999199</v>
      </c>
      <c r="W49">
        <v>222.56537329999199</v>
      </c>
      <c r="X49">
        <v>228.78238500002701</v>
      </c>
      <c r="Y49" t="s">
        <v>46</v>
      </c>
      <c r="Z49">
        <v>6.2146166999591497</v>
      </c>
      <c r="AA49" t="s">
        <v>45</v>
      </c>
      <c r="AF49" t="s">
        <v>39</v>
      </c>
      <c r="AG49">
        <v>1</v>
      </c>
      <c r="AH49" t="s">
        <v>40</v>
      </c>
      <c r="AI49" t="s">
        <v>41</v>
      </c>
      <c r="AK49" t="s">
        <v>42</v>
      </c>
      <c r="AL49">
        <v>60.129109226439297</v>
      </c>
      <c r="AM49" t="s">
        <v>43</v>
      </c>
    </row>
    <row r="50" spans="1:39" x14ac:dyDescent="0.35">
      <c r="A50">
        <v>12</v>
      </c>
      <c r="B50">
        <v>25</v>
      </c>
      <c r="C50">
        <v>5</v>
      </c>
      <c r="D50">
        <v>47</v>
      </c>
      <c r="E50">
        <v>47</v>
      </c>
      <c r="F50">
        <v>0</v>
      </c>
      <c r="G50" t="s">
        <v>44</v>
      </c>
      <c r="H50">
        <v>6.2071548999520001</v>
      </c>
      <c r="I50" t="s">
        <v>45</v>
      </c>
      <c r="J50">
        <v>0</v>
      </c>
      <c r="K50">
        <v>47</v>
      </c>
      <c r="L50">
        <v>47</v>
      </c>
      <c r="M50">
        <v>7</v>
      </c>
      <c r="N50">
        <v>228.79844630009001</v>
      </c>
      <c r="S50">
        <v>228.79455220000801</v>
      </c>
      <c r="T50">
        <v>228.79844630009001</v>
      </c>
      <c r="U50">
        <v>229.79775620007399</v>
      </c>
      <c r="V50">
        <v>229.79775620007399</v>
      </c>
      <c r="W50">
        <v>229.79775620007399</v>
      </c>
      <c r="X50">
        <v>236.01536870002701</v>
      </c>
      <c r="Y50" t="s">
        <v>44</v>
      </c>
      <c r="Z50">
        <v>6.2071548999520001</v>
      </c>
      <c r="AA50" t="s">
        <v>45</v>
      </c>
      <c r="AF50" t="s">
        <v>39</v>
      </c>
      <c r="AG50">
        <v>1</v>
      </c>
      <c r="AH50" t="s">
        <v>40</v>
      </c>
      <c r="AI50" t="s">
        <v>41</v>
      </c>
      <c r="AK50" t="s">
        <v>42</v>
      </c>
      <c r="AL50">
        <v>60.129109226439297</v>
      </c>
      <c r="AM50" t="s">
        <v>43</v>
      </c>
    </row>
    <row r="51" spans="1:39" x14ac:dyDescent="0.35">
      <c r="A51">
        <v>40</v>
      </c>
      <c r="B51">
        <v>55</v>
      </c>
      <c r="C51">
        <v>62</v>
      </c>
      <c r="D51">
        <v>48</v>
      </c>
      <c r="E51">
        <v>48</v>
      </c>
      <c r="F51">
        <v>0</v>
      </c>
      <c r="G51" t="s">
        <v>46</v>
      </c>
      <c r="H51">
        <v>2.45315910002682</v>
      </c>
      <c r="I51" t="s">
        <v>45</v>
      </c>
      <c r="J51">
        <v>0</v>
      </c>
      <c r="K51">
        <v>48</v>
      </c>
      <c r="L51">
        <v>48</v>
      </c>
      <c r="M51">
        <v>3</v>
      </c>
      <c r="N51">
        <v>236.03145350003601</v>
      </c>
      <c r="S51">
        <v>236.02200530003699</v>
      </c>
      <c r="T51">
        <v>236.03145350003601</v>
      </c>
      <c r="U51">
        <v>237.015051400056</v>
      </c>
      <c r="V51">
        <v>237.015051400056</v>
      </c>
      <c r="W51">
        <v>237.03146990004399</v>
      </c>
      <c r="X51">
        <v>239.48294810007701</v>
      </c>
      <c r="Y51" t="s">
        <v>46</v>
      </c>
      <c r="Z51">
        <v>2.45315910002682</v>
      </c>
      <c r="AA51" t="s">
        <v>45</v>
      </c>
      <c r="AF51" t="s">
        <v>39</v>
      </c>
      <c r="AG51">
        <v>1</v>
      </c>
      <c r="AH51" t="s">
        <v>40</v>
      </c>
      <c r="AI51" t="s">
        <v>41</v>
      </c>
      <c r="AK51" t="s">
        <v>42</v>
      </c>
      <c r="AL51">
        <v>60.129109226439297</v>
      </c>
      <c r="AM51" t="s">
        <v>43</v>
      </c>
    </row>
    <row r="52" spans="1:39" x14ac:dyDescent="0.35">
      <c r="A52">
        <v>78</v>
      </c>
      <c r="B52">
        <v>105</v>
      </c>
      <c r="C52">
        <v>130</v>
      </c>
      <c r="D52">
        <v>49</v>
      </c>
      <c r="E52">
        <v>49</v>
      </c>
      <c r="F52">
        <v>0</v>
      </c>
      <c r="G52" t="s">
        <v>44</v>
      </c>
      <c r="H52">
        <v>7.68655580002814</v>
      </c>
      <c r="I52" t="s">
        <v>45</v>
      </c>
      <c r="J52">
        <v>0</v>
      </c>
      <c r="K52">
        <v>49</v>
      </c>
      <c r="L52">
        <v>49</v>
      </c>
      <c r="M52">
        <v>33</v>
      </c>
      <c r="N52">
        <v>239.49746700003701</v>
      </c>
      <c r="S52">
        <v>239.49143320007701</v>
      </c>
      <c r="T52">
        <v>239.49746700003701</v>
      </c>
      <c r="U52">
        <v>240.49752380000399</v>
      </c>
      <c r="V52">
        <v>240.49752380000399</v>
      </c>
      <c r="W52">
        <v>240.49752380000399</v>
      </c>
      <c r="X52">
        <v>248.20029350009199</v>
      </c>
      <c r="Y52" t="s">
        <v>44</v>
      </c>
      <c r="Z52">
        <v>7.68655580002814</v>
      </c>
      <c r="AA52" t="s">
        <v>45</v>
      </c>
      <c r="AF52" t="s">
        <v>39</v>
      </c>
      <c r="AG52">
        <v>1</v>
      </c>
      <c r="AH52" t="s">
        <v>40</v>
      </c>
      <c r="AI52" t="s">
        <v>41</v>
      </c>
      <c r="AK52" t="s">
        <v>42</v>
      </c>
      <c r="AL52">
        <v>60.129109226439297</v>
      </c>
      <c r="AM52" t="s">
        <v>43</v>
      </c>
    </row>
    <row r="53" spans="1:39" x14ac:dyDescent="0.35">
      <c r="A53">
        <v>100</v>
      </c>
      <c r="B53">
        <v>160</v>
      </c>
      <c r="C53">
        <v>185</v>
      </c>
      <c r="D53">
        <v>50</v>
      </c>
      <c r="E53">
        <v>50</v>
      </c>
      <c r="F53">
        <v>0</v>
      </c>
      <c r="G53" t="s">
        <v>46</v>
      </c>
      <c r="H53">
        <v>3.0027521000010799</v>
      </c>
      <c r="I53" t="s">
        <v>45</v>
      </c>
      <c r="J53">
        <v>0</v>
      </c>
      <c r="K53">
        <v>50</v>
      </c>
      <c r="L53">
        <v>50</v>
      </c>
      <c r="M53">
        <v>44</v>
      </c>
      <c r="N53">
        <v>248.21387720003199</v>
      </c>
      <c r="S53">
        <v>248.209941999986</v>
      </c>
      <c r="T53">
        <v>248.21387720003199</v>
      </c>
      <c r="U53">
        <v>249.21447570004901</v>
      </c>
      <c r="V53">
        <v>249.21447570004901</v>
      </c>
      <c r="W53">
        <v>249.21447570004901</v>
      </c>
      <c r="X53">
        <v>252.24348990002099</v>
      </c>
      <c r="Y53" t="s">
        <v>46</v>
      </c>
      <c r="Z53">
        <v>3.0027521000010799</v>
      </c>
      <c r="AA53" t="s">
        <v>45</v>
      </c>
      <c r="AF53" t="s">
        <v>39</v>
      </c>
      <c r="AG53">
        <v>1</v>
      </c>
      <c r="AH53" t="s">
        <v>40</v>
      </c>
      <c r="AI53" t="s">
        <v>41</v>
      </c>
      <c r="AK53" t="s">
        <v>42</v>
      </c>
      <c r="AL53">
        <v>60.129109226439297</v>
      </c>
      <c r="AM53" t="s">
        <v>43</v>
      </c>
    </row>
    <row r="54" spans="1:39" x14ac:dyDescent="0.35">
      <c r="A54">
        <v>37</v>
      </c>
      <c r="B54">
        <v>65</v>
      </c>
      <c r="C54">
        <v>40</v>
      </c>
      <c r="D54">
        <v>51</v>
      </c>
      <c r="E54">
        <v>51</v>
      </c>
      <c r="F54">
        <v>0</v>
      </c>
      <c r="G54" t="s">
        <v>46</v>
      </c>
      <c r="H54">
        <v>3.0698289999272599</v>
      </c>
      <c r="I54" t="s">
        <v>45</v>
      </c>
      <c r="J54">
        <v>0</v>
      </c>
      <c r="K54">
        <v>51</v>
      </c>
      <c r="L54">
        <v>51</v>
      </c>
      <c r="M54">
        <v>15</v>
      </c>
      <c r="N54">
        <v>252.258325700066</v>
      </c>
      <c r="S54">
        <v>252.25452970003201</v>
      </c>
      <c r="T54">
        <v>252.258325700066</v>
      </c>
      <c r="U54">
        <v>253.248226099996</v>
      </c>
      <c r="V54">
        <v>253.248226099996</v>
      </c>
      <c r="W54">
        <v>253.26460100000199</v>
      </c>
      <c r="X54">
        <v>256.33182419999503</v>
      </c>
      <c r="Y54" t="s">
        <v>46</v>
      </c>
      <c r="Z54">
        <v>3.0698289999272599</v>
      </c>
      <c r="AA54" t="s">
        <v>45</v>
      </c>
      <c r="AF54" t="s">
        <v>39</v>
      </c>
      <c r="AG54">
        <v>1</v>
      </c>
      <c r="AH54" t="s">
        <v>40</v>
      </c>
      <c r="AI54" t="s">
        <v>41</v>
      </c>
      <c r="AK54" t="s">
        <v>42</v>
      </c>
      <c r="AL54">
        <v>60.129109226439297</v>
      </c>
      <c r="AM54" t="s">
        <v>43</v>
      </c>
    </row>
    <row r="55" spans="1:39" x14ac:dyDescent="0.35">
      <c r="A55">
        <v>60</v>
      </c>
      <c r="B55">
        <v>125</v>
      </c>
      <c r="C55">
        <v>28</v>
      </c>
      <c r="D55">
        <v>52</v>
      </c>
      <c r="E55">
        <v>52</v>
      </c>
      <c r="F55">
        <v>0</v>
      </c>
      <c r="G55" t="s">
        <v>46</v>
      </c>
      <c r="H55">
        <v>2.1831679999595499</v>
      </c>
      <c r="I55" t="s">
        <v>45</v>
      </c>
      <c r="J55">
        <v>0</v>
      </c>
      <c r="K55">
        <v>52</v>
      </c>
      <c r="L55">
        <v>52</v>
      </c>
      <c r="M55">
        <v>70</v>
      </c>
      <c r="N55">
        <v>256.347467900021</v>
      </c>
      <c r="S55">
        <v>256.337953499984</v>
      </c>
      <c r="T55">
        <v>256.347467900021</v>
      </c>
      <c r="U55">
        <v>257.33081740001199</v>
      </c>
      <c r="V55">
        <v>257.33081740001199</v>
      </c>
      <c r="W55">
        <v>257.34733670006898</v>
      </c>
      <c r="X55">
        <v>259.51507150009201</v>
      </c>
      <c r="Y55" t="s">
        <v>46</v>
      </c>
      <c r="Z55">
        <v>2.1831679999595499</v>
      </c>
      <c r="AA55" t="s">
        <v>45</v>
      </c>
      <c r="AF55" t="s">
        <v>39</v>
      </c>
      <c r="AG55">
        <v>1</v>
      </c>
      <c r="AH55" t="s">
        <v>40</v>
      </c>
      <c r="AI55" t="s">
        <v>41</v>
      </c>
      <c r="AK55" t="s">
        <v>42</v>
      </c>
      <c r="AL55">
        <v>60.129109226439297</v>
      </c>
      <c r="AM55" t="s">
        <v>43</v>
      </c>
    </row>
    <row r="56" spans="1:39" x14ac:dyDescent="0.35">
      <c r="A56">
        <v>80</v>
      </c>
      <c r="B56">
        <v>110</v>
      </c>
      <c r="C56">
        <v>135</v>
      </c>
      <c r="D56">
        <v>53</v>
      </c>
      <c r="E56">
        <v>53</v>
      </c>
      <c r="F56">
        <v>0</v>
      </c>
      <c r="G56" t="s">
        <v>44</v>
      </c>
      <c r="H56">
        <v>3.4846826000139099</v>
      </c>
      <c r="I56" t="s">
        <v>45</v>
      </c>
      <c r="J56">
        <v>0</v>
      </c>
      <c r="K56">
        <v>53</v>
      </c>
      <c r="L56">
        <v>53</v>
      </c>
      <c r="M56">
        <v>34</v>
      </c>
      <c r="N56">
        <v>259.53043749998301</v>
      </c>
      <c r="S56">
        <v>259.52336620003899</v>
      </c>
      <c r="T56">
        <v>259.53043749998301</v>
      </c>
      <c r="U56">
        <v>260.51473400008399</v>
      </c>
      <c r="V56">
        <v>260.51473400008399</v>
      </c>
      <c r="W56">
        <v>260.53100110008302</v>
      </c>
      <c r="X56">
        <v>264.01478269998898</v>
      </c>
      <c r="Y56" t="s">
        <v>44</v>
      </c>
      <c r="Z56">
        <v>3.4846826000139099</v>
      </c>
      <c r="AA56" t="s">
        <v>45</v>
      </c>
      <c r="AF56" t="s">
        <v>39</v>
      </c>
      <c r="AG56">
        <v>1</v>
      </c>
      <c r="AH56" t="s">
        <v>40</v>
      </c>
      <c r="AI56" t="s">
        <v>41</v>
      </c>
      <c r="AK56" t="s">
        <v>42</v>
      </c>
      <c r="AL56">
        <v>60.129109226439297</v>
      </c>
      <c r="AM56" t="s">
        <v>43</v>
      </c>
    </row>
    <row r="57" spans="1:39" x14ac:dyDescent="0.35">
      <c r="A57">
        <v>30</v>
      </c>
      <c r="B57">
        <v>52</v>
      </c>
      <c r="C57">
        <v>25</v>
      </c>
      <c r="D57">
        <v>54</v>
      </c>
      <c r="E57">
        <v>54</v>
      </c>
      <c r="F57">
        <v>0</v>
      </c>
      <c r="G57" t="s">
        <v>46</v>
      </c>
      <c r="H57">
        <v>2.4534278999781201</v>
      </c>
      <c r="I57" t="s">
        <v>45</v>
      </c>
      <c r="J57">
        <v>0</v>
      </c>
      <c r="K57">
        <v>54</v>
      </c>
      <c r="L57">
        <v>54</v>
      </c>
      <c r="M57">
        <v>12</v>
      </c>
      <c r="N57">
        <v>264.031023000017</v>
      </c>
      <c r="S57">
        <v>264.02388420002501</v>
      </c>
      <c r="T57">
        <v>264.031023000017</v>
      </c>
      <c r="U57">
        <v>265.01430759997999</v>
      </c>
      <c r="V57">
        <v>265.01430759997999</v>
      </c>
      <c r="W57">
        <v>265.03097209997901</v>
      </c>
      <c r="X57">
        <v>267.48142550000898</v>
      </c>
      <c r="Y57" t="s">
        <v>46</v>
      </c>
      <c r="Z57">
        <v>2.4534278999781201</v>
      </c>
      <c r="AA57" t="s">
        <v>45</v>
      </c>
      <c r="AF57" t="s">
        <v>39</v>
      </c>
      <c r="AG57">
        <v>1</v>
      </c>
      <c r="AH57" t="s">
        <v>40</v>
      </c>
      <c r="AI57" t="s">
        <v>41</v>
      </c>
      <c r="AK57" t="s">
        <v>42</v>
      </c>
      <c r="AL57">
        <v>60.129109226439297</v>
      </c>
      <c r="AM57" t="s">
        <v>43</v>
      </c>
    </row>
    <row r="58" spans="1:39" x14ac:dyDescent="0.35">
      <c r="A58">
        <v>84</v>
      </c>
      <c r="B58">
        <v>120</v>
      </c>
      <c r="C58">
        <v>145</v>
      </c>
      <c r="D58">
        <v>55</v>
      </c>
      <c r="E58">
        <v>55</v>
      </c>
      <c r="F58">
        <v>0</v>
      </c>
      <c r="G58" t="s">
        <v>46</v>
      </c>
      <c r="H58">
        <v>2.21449289994779</v>
      </c>
      <c r="I58" t="s">
        <v>45</v>
      </c>
      <c r="J58">
        <v>0</v>
      </c>
      <c r="K58">
        <v>55</v>
      </c>
      <c r="L58">
        <v>55</v>
      </c>
      <c r="M58">
        <v>36</v>
      </c>
      <c r="N58">
        <v>267.49728010001098</v>
      </c>
      <c r="S58">
        <v>267.49258040008101</v>
      </c>
      <c r="T58">
        <v>267.49728010001098</v>
      </c>
      <c r="U58">
        <v>268.48134719999501</v>
      </c>
      <c r="V58">
        <v>268.48134719999501</v>
      </c>
      <c r="W58">
        <v>268.49758219998301</v>
      </c>
      <c r="X58">
        <v>270.69810070004303</v>
      </c>
      <c r="Y58" t="s">
        <v>46</v>
      </c>
      <c r="Z58">
        <v>2.21449289994779</v>
      </c>
      <c r="AA58" t="s">
        <v>45</v>
      </c>
      <c r="AF58" t="s">
        <v>39</v>
      </c>
      <c r="AG58">
        <v>1</v>
      </c>
      <c r="AH58" t="s">
        <v>40</v>
      </c>
      <c r="AI58" t="s">
        <v>41</v>
      </c>
      <c r="AK58" t="s">
        <v>42</v>
      </c>
      <c r="AL58">
        <v>60.129109226439297</v>
      </c>
      <c r="AM58" t="s">
        <v>43</v>
      </c>
    </row>
    <row r="59" spans="1:39" x14ac:dyDescent="0.35">
      <c r="A59">
        <v>28</v>
      </c>
      <c r="B59">
        <v>48</v>
      </c>
      <c r="C59">
        <v>20</v>
      </c>
      <c r="D59">
        <v>56</v>
      </c>
      <c r="E59">
        <v>56</v>
      </c>
      <c r="F59">
        <v>0</v>
      </c>
      <c r="G59" t="s">
        <v>46</v>
      </c>
      <c r="H59">
        <v>8.8461663000052795</v>
      </c>
      <c r="I59" t="s">
        <v>45</v>
      </c>
      <c r="J59">
        <v>0</v>
      </c>
      <c r="K59">
        <v>56</v>
      </c>
      <c r="L59">
        <v>56</v>
      </c>
      <c r="M59">
        <v>11</v>
      </c>
      <c r="N59">
        <v>270.71403380006001</v>
      </c>
      <c r="S59">
        <v>270.70497229998</v>
      </c>
      <c r="T59">
        <v>270.71403380006001</v>
      </c>
      <c r="U59">
        <v>271.69805150001702</v>
      </c>
      <c r="V59">
        <v>271.69805150001702</v>
      </c>
      <c r="W59">
        <v>271.714364100014</v>
      </c>
      <c r="X59">
        <v>280.54810290003599</v>
      </c>
      <c r="Y59" t="s">
        <v>46</v>
      </c>
      <c r="Z59">
        <v>8.8461663000052795</v>
      </c>
      <c r="AA59" t="s">
        <v>45</v>
      </c>
      <c r="AF59" t="s">
        <v>39</v>
      </c>
      <c r="AG59">
        <v>1</v>
      </c>
      <c r="AH59" t="s">
        <v>40</v>
      </c>
      <c r="AI59" t="s">
        <v>41</v>
      </c>
      <c r="AK59" t="s">
        <v>42</v>
      </c>
      <c r="AL59">
        <v>60.129109226439297</v>
      </c>
      <c r="AM59" t="s">
        <v>43</v>
      </c>
    </row>
    <row r="60" spans="1:39" x14ac:dyDescent="0.35">
      <c r="A60">
        <v>34</v>
      </c>
      <c r="B60">
        <v>68</v>
      </c>
      <c r="C60">
        <v>15</v>
      </c>
      <c r="D60">
        <v>57</v>
      </c>
      <c r="E60">
        <v>57</v>
      </c>
      <c r="F60">
        <v>0</v>
      </c>
      <c r="G60" t="s">
        <v>46</v>
      </c>
      <c r="H60">
        <v>6.9667491000145603</v>
      </c>
      <c r="I60" t="s">
        <v>45</v>
      </c>
      <c r="J60">
        <v>0</v>
      </c>
      <c r="K60">
        <v>57</v>
      </c>
      <c r="L60">
        <v>57</v>
      </c>
      <c r="M60">
        <v>57</v>
      </c>
      <c r="N60">
        <v>280.56336330005399</v>
      </c>
      <c r="S60">
        <v>280.55536160000997</v>
      </c>
      <c r="T60">
        <v>280.56336330005399</v>
      </c>
      <c r="U60">
        <v>281.54715450003198</v>
      </c>
      <c r="V60">
        <v>281.54715450003198</v>
      </c>
      <c r="W60">
        <v>281.56442750000798</v>
      </c>
      <c r="X60">
        <v>288.51485200005101</v>
      </c>
      <c r="Y60" t="s">
        <v>46</v>
      </c>
      <c r="Z60">
        <v>6.9667491000145603</v>
      </c>
      <c r="AA60" t="s">
        <v>45</v>
      </c>
      <c r="AF60" t="s">
        <v>39</v>
      </c>
      <c r="AG60">
        <v>1</v>
      </c>
      <c r="AH60" t="s">
        <v>40</v>
      </c>
      <c r="AI60" t="s">
        <v>41</v>
      </c>
      <c r="AK60" t="s">
        <v>42</v>
      </c>
      <c r="AL60">
        <v>60.129109226439297</v>
      </c>
      <c r="AM60" t="s">
        <v>43</v>
      </c>
    </row>
    <row r="61" spans="1:39" x14ac:dyDescent="0.35">
      <c r="A61">
        <v>36</v>
      </c>
      <c r="B61">
        <v>72</v>
      </c>
      <c r="C61">
        <v>16</v>
      </c>
      <c r="D61">
        <v>58</v>
      </c>
      <c r="E61">
        <v>58</v>
      </c>
      <c r="F61">
        <v>0</v>
      </c>
      <c r="G61" t="s">
        <v>46</v>
      </c>
      <c r="H61">
        <v>7.0035680000437397</v>
      </c>
      <c r="I61" t="s">
        <v>45</v>
      </c>
      <c r="J61">
        <v>0</v>
      </c>
      <c r="K61">
        <v>58</v>
      </c>
      <c r="L61">
        <v>58</v>
      </c>
      <c r="M61">
        <v>58</v>
      </c>
      <c r="N61">
        <v>288.532298400066</v>
      </c>
      <c r="S61">
        <v>288.52106609998702</v>
      </c>
      <c r="T61">
        <v>288.532298400066</v>
      </c>
      <c r="U61">
        <v>289.51415599999001</v>
      </c>
      <c r="V61">
        <v>289.51415599999001</v>
      </c>
      <c r="W61">
        <v>289.54748549999198</v>
      </c>
      <c r="X61">
        <v>296.53144280007098</v>
      </c>
      <c r="Y61" t="s">
        <v>46</v>
      </c>
      <c r="Z61">
        <v>7.0035680000437397</v>
      </c>
      <c r="AA61" t="s">
        <v>45</v>
      </c>
      <c r="AF61" t="s">
        <v>39</v>
      </c>
      <c r="AG61">
        <v>1</v>
      </c>
      <c r="AH61" t="s">
        <v>40</v>
      </c>
      <c r="AI61" t="s">
        <v>41</v>
      </c>
      <c r="AK61" t="s">
        <v>42</v>
      </c>
      <c r="AL61">
        <v>60.129109226439297</v>
      </c>
      <c r="AM61" t="s">
        <v>43</v>
      </c>
    </row>
    <row r="62" spans="1:39" x14ac:dyDescent="0.35">
      <c r="A62">
        <v>28</v>
      </c>
      <c r="B62">
        <v>56</v>
      </c>
      <c r="C62">
        <v>12</v>
      </c>
      <c r="D62">
        <v>59</v>
      </c>
      <c r="E62">
        <v>59</v>
      </c>
      <c r="F62">
        <v>0</v>
      </c>
      <c r="G62" t="s">
        <v>46</v>
      </c>
      <c r="H62">
        <v>4.6011764999711797</v>
      </c>
      <c r="I62" t="s">
        <v>45</v>
      </c>
      <c r="J62">
        <v>0</v>
      </c>
      <c r="K62">
        <v>59</v>
      </c>
      <c r="L62">
        <v>59</v>
      </c>
      <c r="M62">
        <v>54</v>
      </c>
      <c r="N62">
        <v>296.54721850005399</v>
      </c>
      <c r="S62">
        <v>296.540542699978</v>
      </c>
      <c r="T62">
        <v>296.54721850005399</v>
      </c>
      <c r="U62">
        <v>297.54688600008302</v>
      </c>
      <c r="V62">
        <v>297.54688600008302</v>
      </c>
      <c r="W62">
        <v>297.54688600008302</v>
      </c>
      <c r="X62">
        <v>302.16403380001401</v>
      </c>
      <c r="Y62" t="s">
        <v>46</v>
      </c>
      <c r="Z62">
        <v>4.6011764999711797</v>
      </c>
      <c r="AA62" t="s">
        <v>45</v>
      </c>
      <c r="AF62" t="s">
        <v>39</v>
      </c>
      <c r="AG62">
        <v>1</v>
      </c>
      <c r="AH62" t="s">
        <v>40</v>
      </c>
      <c r="AI62" t="s">
        <v>41</v>
      </c>
      <c r="AK62" t="s">
        <v>42</v>
      </c>
      <c r="AL62">
        <v>60.129109226439297</v>
      </c>
      <c r="AM62" t="s">
        <v>43</v>
      </c>
    </row>
    <row r="63" spans="1:39" x14ac:dyDescent="0.35">
      <c r="A63">
        <v>68</v>
      </c>
      <c r="B63">
        <v>92</v>
      </c>
      <c r="C63">
        <v>105</v>
      </c>
      <c r="D63">
        <v>60</v>
      </c>
      <c r="E63">
        <v>60</v>
      </c>
      <c r="F63">
        <v>0</v>
      </c>
      <c r="G63" t="s">
        <v>46</v>
      </c>
      <c r="H63">
        <v>4.0126571999862701</v>
      </c>
      <c r="I63" t="s">
        <v>45</v>
      </c>
      <c r="J63">
        <v>0</v>
      </c>
      <c r="K63">
        <v>60</v>
      </c>
      <c r="L63">
        <v>60</v>
      </c>
      <c r="M63">
        <v>28</v>
      </c>
      <c r="N63">
        <v>302.17987500002999</v>
      </c>
      <c r="S63">
        <v>302.17294020007802</v>
      </c>
      <c r="T63">
        <v>302.17987500002999</v>
      </c>
      <c r="U63">
        <v>303.16377780004399</v>
      </c>
      <c r="V63">
        <v>303.16377780004399</v>
      </c>
      <c r="W63">
        <v>303.180485800025</v>
      </c>
      <c r="X63">
        <v>307.18089130008502</v>
      </c>
      <c r="Y63" t="s">
        <v>46</v>
      </c>
      <c r="Z63">
        <v>4.0126571999862701</v>
      </c>
      <c r="AA63" t="s">
        <v>45</v>
      </c>
      <c r="AF63" t="s">
        <v>39</v>
      </c>
      <c r="AG63">
        <v>1</v>
      </c>
      <c r="AH63" t="s">
        <v>40</v>
      </c>
      <c r="AI63" t="s">
        <v>41</v>
      </c>
      <c r="AK63" t="s">
        <v>42</v>
      </c>
      <c r="AL63">
        <v>60.129109226439297</v>
      </c>
      <c r="AM63" t="s">
        <v>43</v>
      </c>
    </row>
    <row r="64" spans="1:39" x14ac:dyDescent="0.35">
      <c r="A64">
        <v>44</v>
      </c>
      <c r="B64">
        <v>88</v>
      </c>
      <c r="C64">
        <v>20</v>
      </c>
      <c r="D64">
        <v>61</v>
      </c>
      <c r="E64">
        <v>61</v>
      </c>
      <c r="F64">
        <v>0</v>
      </c>
      <c r="G64" t="s">
        <v>46</v>
      </c>
      <c r="H64">
        <v>6.7339650000212696</v>
      </c>
      <c r="I64" t="s">
        <v>45</v>
      </c>
      <c r="J64">
        <v>0</v>
      </c>
      <c r="K64">
        <v>61</v>
      </c>
      <c r="L64">
        <v>61</v>
      </c>
      <c r="M64">
        <v>62</v>
      </c>
      <c r="N64">
        <v>307.19699409999799</v>
      </c>
      <c r="S64">
        <v>307.18895049998503</v>
      </c>
      <c r="T64">
        <v>307.19699409999799</v>
      </c>
      <c r="U64">
        <v>308.18014339997899</v>
      </c>
      <c r="V64">
        <v>308.18014339997899</v>
      </c>
      <c r="W64">
        <v>308.19704820006098</v>
      </c>
      <c r="X64">
        <v>314.91523809998699</v>
      </c>
      <c r="Y64" t="s">
        <v>46</v>
      </c>
      <c r="Z64">
        <v>6.7339650000212696</v>
      </c>
      <c r="AA64" t="s">
        <v>45</v>
      </c>
      <c r="AF64" t="s">
        <v>39</v>
      </c>
      <c r="AG64">
        <v>1</v>
      </c>
      <c r="AH64" t="s">
        <v>40</v>
      </c>
      <c r="AI64" t="s">
        <v>41</v>
      </c>
      <c r="AK64" t="s">
        <v>42</v>
      </c>
      <c r="AL64">
        <v>60.129109226439297</v>
      </c>
      <c r="AM64" t="s">
        <v>43</v>
      </c>
    </row>
    <row r="65" spans="1:39" x14ac:dyDescent="0.35">
      <c r="A65">
        <v>22</v>
      </c>
      <c r="B65">
        <v>44</v>
      </c>
      <c r="C65">
        <v>9</v>
      </c>
      <c r="D65">
        <v>62</v>
      </c>
      <c r="E65">
        <v>62</v>
      </c>
      <c r="F65">
        <v>0</v>
      </c>
      <c r="G65" t="s">
        <v>46</v>
      </c>
      <c r="H65">
        <v>2.4990285000530998</v>
      </c>
      <c r="I65" t="s">
        <v>45</v>
      </c>
      <c r="J65">
        <v>0</v>
      </c>
      <c r="K65">
        <v>62</v>
      </c>
      <c r="L65">
        <v>62</v>
      </c>
      <c r="M65">
        <v>51</v>
      </c>
      <c r="N65">
        <v>314.929500000085</v>
      </c>
      <c r="S65">
        <v>314.92189880006401</v>
      </c>
      <c r="T65">
        <v>314.929500000085</v>
      </c>
      <c r="U65">
        <v>315.93025760003297</v>
      </c>
      <c r="V65">
        <v>315.93025760003297</v>
      </c>
      <c r="W65">
        <v>315.93025760003297</v>
      </c>
      <c r="X65">
        <v>318.43178480002098</v>
      </c>
      <c r="Y65" t="s">
        <v>46</v>
      </c>
      <c r="Z65">
        <v>2.4990285000530998</v>
      </c>
      <c r="AA65" t="s">
        <v>45</v>
      </c>
      <c r="AF65" t="s">
        <v>39</v>
      </c>
      <c r="AG65">
        <v>1</v>
      </c>
      <c r="AH65" t="s">
        <v>40</v>
      </c>
      <c r="AI65" t="s">
        <v>41</v>
      </c>
      <c r="AK65" t="s">
        <v>42</v>
      </c>
      <c r="AL65">
        <v>60.129109226439297</v>
      </c>
      <c r="AM65" t="s">
        <v>43</v>
      </c>
    </row>
    <row r="66" spans="1:39" x14ac:dyDescent="0.35">
      <c r="A66">
        <v>18</v>
      </c>
      <c r="B66">
        <v>32</v>
      </c>
      <c r="C66">
        <v>9</v>
      </c>
      <c r="D66">
        <v>63</v>
      </c>
      <c r="E66">
        <v>63</v>
      </c>
      <c r="F66">
        <v>0</v>
      </c>
      <c r="G66" t="s">
        <v>46</v>
      </c>
      <c r="H66">
        <v>2.3206528999144198</v>
      </c>
      <c r="I66" t="s">
        <v>45</v>
      </c>
      <c r="J66">
        <v>0</v>
      </c>
      <c r="K66">
        <v>63</v>
      </c>
      <c r="L66">
        <v>63</v>
      </c>
      <c r="M66">
        <v>8</v>
      </c>
      <c r="N66">
        <v>318.44622490007799</v>
      </c>
      <c r="S66">
        <v>318.44142020004801</v>
      </c>
      <c r="T66">
        <v>318.44622490007799</v>
      </c>
      <c r="U66">
        <v>319.44688960001798</v>
      </c>
      <c r="V66">
        <v>319.44688960001798</v>
      </c>
      <c r="W66">
        <v>319.44688960001798</v>
      </c>
      <c r="X66">
        <v>321.78357630001801</v>
      </c>
      <c r="Y66" t="s">
        <v>46</v>
      </c>
      <c r="Z66">
        <v>2.3206528999144198</v>
      </c>
      <c r="AA66" t="s">
        <v>45</v>
      </c>
      <c r="AF66" t="s">
        <v>39</v>
      </c>
      <c r="AG66">
        <v>1</v>
      </c>
      <c r="AH66" t="s">
        <v>40</v>
      </c>
      <c r="AI66" t="s">
        <v>41</v>
      </c>
      <c r="AK66" t="s">
        <v>42</v>
      </c>
      <c r="AL66">
        <v>60.129109226439297</v>
      </c>
      <c r="AM66" t="s">
        <v>43</v>
      </c>
    </row>
    <row r="67" spans="1:39" x14ac:dyDescent="0.35">
      <c r="A67">
        <v>30</v>
      </c>
      <c r="B67">
        <v>60</v>
      </c>
      <c r="C67">
        <v>13</v>
      </c>
      <c r="D67">
        <v>64</v>
      </c>
      <c r="E67">
        <v>64</v>
      </c>
      <c r="F67">
        <v>0</v>
      </c>
      <c r="G67" t="s">
        <v>46</v>
      </c>
      <c r="H67">
        <v>5.7187341999961001</v>
      </c>
      <c r="I67" t="s">
        <v>45</v>
      </c>
      <c r="J67">
        <v>0</v>
      </c>
      <c r="K67">
        <v>64</v>
      </c>
      <c r="L67">
        <v>64</v>
      </c>
      <c r="M67">
        <v>55</v>
      </c>
      <c r="N67">
        <v>321.797679000068</v>
      </c>
      <c r="S67">
        <v>321.79042870004099</v>
      </c>
      <c r="T67">
        <v>321.797679000068</v>
      </c>
      <c r="U67">
        <v>322.79798839997898</v>
      </c>
      <c r="V67">
        <v>322.79798839997898</v>
      </c>
      <c r="W67">
        <v>322.79798839997898</v>
      </c>
      <c r="X67">
        <v>328.53021350002302</v>
      </c>
      <c r="Y67" t="s">
        <v>46</v>
      </c>
      <c r="Z67">
        <v>5.7187341999961001</v>
      </c>
      <c r="AA67" t="s">
        <v>45</v>
      </c>
      <c r="AF67" t="s">
        <v>39</v>
      </c>
      <c r="AG67">
        <v>1</v>
      </c>
      <c r="AH67" t="s">
        <v>40</v>
      </c>
      <c r="AI67" t="s">
        <v>41</v>
      </c>
      <c r="AK67" t="s">
        <v>42</v>
      </c>
      <c r="AL67">
        <v>60.129109226439297</v>
      </c>
      <c r="AM67" t="s">
        <v>43</v>
      </c>
    </row>
    <row r="68" spans="1:39" x14ac:dyDescent="0.35">
      <c r="A68">
        <v>96</v>
      </c>
      <c r="B68">
        <v>150</v>
      </c>
      <c r="C68">
        <v>175</v>
      </c>
      <c r="D68">
        <v>65</v>
      </c>
      <c r="E68">
        <v>65</v>
      </c>
      <c r="F68">
        <v>0</v>
      </c>
      <c r="G68" t="s">
        <v>44</v>
      </c>
      <c r="H68">
        <v>2.0017767999088298</v>
      </c>
      <c r="I68" t="s">
        <v>45</v>
      </c>
      <c r="J68">
        <v>0</v>
      </c>
      <c r="K68">
        <v>65</v>
      </c>
      <c r="L68">
        <v>65</v>
      </c>
      <c r="M68">
        <v>42</v>
      </c>
      <c r="N68">
        <v>328.54654790006998</v>
      </c>
      <c r="S68">
        <v>328.54035830008797</v>
      </c>
      <c r="T68">
        <v>328.54654790006998</v>
      </c>
      <c r="U68">
        <v>329.52986880007597</v>
      </c>
      <c r="V68">
        <v>329.52986880007597</v>
      </c>
      <c r="W68">
        <v>329.54688809998299</v>
      </c>
      <c r="X68">
        <v>331.532319499994</v>
      </c>
      <c r="Y68" t="s">
        <v>44</v>
      </c>
      <c r="Z68">
        <v>2.0017767999088298</v>
      </c>
      <c r="AA68" t="s">
        <v>45</v>
      </c>
      <c r="AF68" t="s">
        <v>39</v>
      </c>
      <c r="AG68">
        <v>1</v>
      </c>
      <c r="AH68" t="s">
        <v>40</v>
      </c>
      <c r="AI68" t="s">
        <v>41</v>
      </c>
      <c r="AK68" t="s">
        <v>42</v>
      </c>
      <c r="AL68">
        <v>60.129109226439297</v>
      </c>
      <c r="AM68" t="s">
        <v>43</v>
      </c>
    </row>
    <row r="69" spans="1:39" x14ac:dyDescent="0.35">
      <c r="A69">
        <v>100</v>
      </c>
      <c r="B69">
        <v>225</v>
      </c>
      <c r="C69">
        <v>48</v>
      </c>
      <c r="D69">
        <v>66</v>
      </c>
      <c r="E69">
        <v>66</v>
      </c>
      <c r="F69">
        <v>0</v>
      </c>
      <c r="G69" t="s">
        <v>44</v>
      </c>
      <c r="H69">
        <v>2.0543580999365001</v>
      </c>
      <c r="I69" t="s">
        <v>45</v>
      </c>
      <c r="J69">
        <v>0</v>
      </c>
      <c r="K69">
        <v>66</v>
      </c>
      <c r="L69">
        <v>66</v>
      </c>
      <c r="M69">
        <v>90</v>
      </c>
      <c r="N69">
        <v>331.54603179998202</v>
      </c>
      <c r="S69">
        <v>331.53860740002699</v>
      </c>
      <c r="T69">
        <v>331.54603179998202</v>
      </c>
      <c r="U69">
        <v>332.54750139999601</v>
      </c>
      <c r="V69">
        <v>332.54750139999601</v>
      </c>
      <c r="W69">
        <v>332.54750139999601</v>
      </c>
      <c r="X69">
        <v>334.61345870001202</v>
      </c>
      <c r="Y69" t="s">
        <v>44</v>
      </c>
      <c r="Z69">
        <v>2.0543580999365001</v>
      </c>
      <c r="AA69" t="s">
        <v>45</v>
      </c>
      <c r="AF69" t="s">
        <v>39</v>
      </c>
      <c r="AG69">
        <v>1</v>
      </c>
      <c r="AH69" t="s">
        <v>40</v>
      </c>
      <c r="AI69" t="s">
        <v>41</v>
      </c>
      <c r="AK69" t="s">
        <v>42</v>
      </c>
      <c r="AL69">
        <v>60.129109226439297</v>
      </c>
      <c r="AM69" t="s">
        <v>43</v>
      </c>
    </row>
    <row r="70" spans="1:39" x14ac:dyDescent="0.35">
      <c r="A70">
        <v>74</v>
      </c>
      <c r="B70">
        <v>98</v>
      </c>
      <c r="C70">
        <v>120</v>
      </c>
      <c r="D70">
        <v>67</v>
      </c>
      <c r="E70">
        <v>67</v>
      </c>
      <c r="F70">
        <v>0</v>
      </c>
      <c r="G70" t="s">
        <v>46</v>
      </c>
      <c r="H70">
        <v>6.4360952000133604</v>
      </c>
      <c r="I70" t="s">
        <v>45</v>
      </c>
      <c r="J70">
        <v>0</v>
      </c>
      <c r="K70">
        <v>67</v>
      </c>
      <c r="L70">
        <v>67</v>
      </c>
      <c r="M70">
        <v>31</v>
      </c>
      <c r="N70">
        <v>334.629281400004</v>
      </c>
      <c r="S70">
        <v>334.62324119999499</v>
      </c>
      <c r="T70">
        <v>334.629281400004</v>
      </c>
      <c r="U70">
        <v>335.61338820005699</v>
      </c>
      <c r="V70">
        <v>335.61338820005699</v>
      </c>
      <c r="W70">
        <v>335.62996130005899</v>
      </c>
      <c r="X70">
        <v>342.06397999997699</v>
      </c>
      <c r="Y70" t="s">
        <v>46</v>
      </c>
      <c r="Z70">
        <v>6.4360952000133604</v>
      </c>
      <c r="AA70" t="s">
        <v>45</v>
      </c>
      <c r="AF70" t="s">
        <v>39</v>
      </c>
      <c r="AG70">
        <v>1</v>
      </c>
      <c r="AH70" t="s">
        <v>40</v>
      </c>
      <c r="AI70" t="s">
        <v>41</v>
      </c>
      <c r="AK70" t="s">
        <v>42</v>
      </c>
      <c r="AL70">
        <v>60.129109226439297</v>
      </c>
      <c r="AM70" t="s">
        <v>43</v>
      </c>
    </row>
    <row r="71" spans="1:39" x14ac:dyDescent="0.35">
      <c r="A71">
        <v>92</v>
      </c>
      <c r="B71">
        <v>205</v>
      </c>
      <c r="C71">
        <v>44</v>
      </c>
      <c r="D71">
        <v>68</v>
      </c>
      <c r="E71">
        <v>68</v>
      </c>
      <c r="F71">
        <v>0</v>
      </c>
      <c r="G71" t="s">
        <v>44</v>
      </c>
      <c r="H71">
        <v>1.65079719992354</v>
      </c>
      <c r="I71" t="s">
        <v>45</v>
      </c>
      <c r="J71">
        <v>0</v>
      </c>
      <c r="K71">
        <v>68</v>
      </c>
      <c r="L71">
        <v>68</v>
      </c>
      <c r="M71">
        <v>86</v>
      </c>
      <c r="N71">
        <v>342.07926040003002</v>
      </c>
      <c r="S71">
        <v>342.07417040003901</v>
      </c>
      <c r="T71">
        <v>342.07926040003002</v>
      </c>
      <c r="U71">
        <v>343.079708000062</v>
      </c>
      <c r="V71">
        <v>343.079708000062</v>
      </c>
      <c r="W71">
        <v>343.079708000062</v>
      </c>
      <c r="X71">
        <v>344.73111930000499</v>
      </c>
      <c r="Y71" t="s">
        <v>44</v>
      </c>
      <c r="Z71">
        <v>1.65079719992354</v>
      </c>
      <c r="AA71" t="s">
        <v>45</v>
      </c>
      <c r="AF71" t="s">
        <v>39</v>
      </c>
      <c r="AG71">
        <v>1</v>
      </c>
      <c r="AH71" t="s">
        <v>40</v>
      </c>
      <c r="AI71" t="s">
        <v>41</v>
      </c>
      <c r="AK71" t="s">
        <v>42</v>
      </c>
      <c r="AL71">
        <v>60.129109226439297</v>
      </c>
      <c r="AM71" t="s">
        <v>43</v>
      </c>
    </row>
    <row r="72" spans="1:39" x14ac:dyDescent="0.35">
      <c r="A72">
        <v>62</v>
      </c>
      <c r="B72">
        <v>86</v>
      </c>
      <c r="C72">
        <v>90</v>
      </c>
      <c r="D72">
        <v>69</v>
      </c>
      <c r="E72">
        <v>69</v>
      </c>
      <c r="F72">
        <v>0</v>
      </c>
      <c r="G72" t="s">
        <v>46</v>
      </c>
      <c r="H72">
        <v>3.83394629997201</v>
      </c>
      <c r="I72" t="s">
        <v>45</v>
      </c>
      <c r="J72">
        <v>0</v>
      </c>
      <c r="K72">
        <v>69</v>
      </c>
      <c r="L72">
        <v>69</v>
      </c>
      <c r="M72">
        <v>25</v>
      </c>
      <c r="N72">
        <v>344.74636750004697</v>
      </c>
      <c r="S72">
        <v>344.74057450005699</v>
      </c>
      <c r="T72">
        <v>344.74636750004697</v>
      </c>
      <c r="U72">
        <v>345.74636570003298</v>
      </c>
      <c r="V72">
        <v>345.74636570003298</v>
      </c>
      <c r="W72">
        <v>345.74636570003298</v>
      </c>
      <c r="X72">
        <v>349.58122380007899</v>
      </c>
      <c r="Y72" t="s">
        <v>46</v>
      </c>
      <c r="Z72">
        <v>3.83394629997201</v>
      </c>
      <c r="AA72" t="s">
        <v>45</v>
      </c>
      <c r="AF72" t="s">
        <v>39</v>
      </c>
      <c r="AG72">
        <v>1</v>
      </c>
      <c r="AH72" t="s">
        <v>40</v>
      </c>
      <c r="AI72" t="s">
        <v>41</v>
      </c>
      <c r="AK72" t="s">
        <v>42</v>
      </c>
      <c r="AL72">
        <v>60.129109226439297</v>
      </c>
      <c r="AM72" t="s">
        <v>43</v>
      </c>
    </row>
    <row r="73" spans="1:39" x14ac:dyDescent="0.35">
      <c r="A73">
        <v>32</v>
      </c>
      <c r="B73">
        <v>64</v>
      </c>
      <c r="C73">
        <v>14</v>
      </c>
      <c r="D73">
        <v>70</v>
      </c>
      <c r="E73">
        <v>70</v>
      </c>
      <c r="F73">
        <v>0</v>
      </c>
      <c r="G73" t="s">
        <v>46</v>
      </c>
      <c r="H73">
        <v>5.4985218999208803</v>
      </c>
      <c r="I73" t="s">
        <v>45</v>
      </c>
      <c r="J73">
        <v>0</v>
      </c>
      <c r="K73">
        <v>70</v>
      </c>
      <c r="L73">
        <v>70</v>
      </c>
      <c r="M73">
        <v>56</v>
      </c>
      <c r="N73">
        <v>349.595940400031</v>
      </c>
      <c r="S73">
        <v>349.58782610006102</v>
      </c>
      <c r="T73">
        <v>349.595940400031</v>
      </c>
      <c r="U73">
        <v>350.595723800011</v>
      </c>
      <c r="V73">
        <v>350.595723800011</v>
      </c>
      <c r="W73">
        <v>350.595723800011</v>
      </c>
      <c r="X73">
        <v>356.09655030001801</v>
      </c>
      <c r="Y73" t="s">
        <v>46</v>
      </c>
      <c r="Z73">
        <v>5.4985218999208803</v>
      </c>
      <c r="AA73" t="s">
        <v>45</v>
      </c>
      <c r="AF73" t="s">
        <v>39</v>
      </c>
      <c r="AG73">
        <v>1</v>
      </c>
      <c r="AH73" t="s">
        <v>40</v>
      </c>
      <c r="AI73" t="s">
        <v>41</v>
      </c>
      <c r="AK73" t="s">
        <v>42</v>
      </c>
      <c r="AL73">
        <v>60.129109226439297</v>
      </c>
      <c r="AM73" t="s">
        <v>43</v>
      </c>
    </row>
    <row r="74" spans="1:39" x14ac:dyDescent="0.35">
      <c r="A74">
        <v>14</v>
      </c>
      <c r="B74">
        <v>28</v>
      </c>
      <c r="C74">
        <v>5</v>
      </c>
      <c r="D74">
        <v>71</v>
      </c>
      <c r="E74">
        <v>71</v>
      </c>
      <c r="F74">
        <v>0</v>
      </c>
      <c r="G74" t="s">
        <v>46</v>
      </c>
      <c r="H74">
        <v>2.2965829999884502</v>
      </c>
      <c r="I74" t="s">
        <v>45</v>
      </c>
      <c r="J74">
        <v>0</v>
      </c>
      <c r="K74">
        <v>71</v>
      </c>
      <c r="L74">
        <v>71</v>
      </c>
      <c r="M74">
        <v>47</v>
      </c>
      <c r="N74">
        <v>356.112164400052</v>
      </c>
      <c r="S74">
        <v>356.10649999999401</v>
      </c>
      <c r="T74">
        <v>356.112164400052</v>
      </c>
      <c r="U74">
        <v>357.09606510004897</v>
      </c>
      <c r="V74">
        <v>357.09606510004897</v>
      </c>
      <c r="W74">
        <v>357.11247400008102</v>
      </c>
      <c r="X74">
        <v>359.397170500014</v>
      </c>
      <c r="Y74" t="s">
        <v>46</v>
      </c>
      <c r="Z74">
        <v>2.2965829999884502</v>
      </c>
      <c r="AA74" t="s">
        <v>45</v>
      </c>
      <c r="AF74" t="s">
        <v>39</v>
      </c>
      <c r="AG74">
        <v>1</v>
      </c>
      <c r="AH74" t="s">
        <v>40</v>
      </c>
      <c r="AI74" t="s">
        <v>41</v>
      </c>
      <c r="AK74" t="s">
        <v>42</v>
      </c>
      <c r="AL74">
        <v>60.129109226439297</v>
      </c>
      <c r="AM74" t="s">
        <v>43</v>
      </c>
    </row>
    <row r="75" spans="1:39" x14ac:dyDescent="0.35">
      <c r="A75">
        <v>24</v>
      </c>
      <c r="B75">
        <v>48</v>
      </c>
      <c r="C75">
        <v>10</v>
      </c>
      <c r="D75">
        <v>72</v>
      </c>
      <c r="E75">
        <v>72</v>
      </c>
      <c r="F75">
        <v>0</v>
      </c>
      <c r="G75" t="s">
        <v>46</v>
      </c>
      <c r="H75">
        <v>2.6074701999314098</v>
      </c>
      <c r="I75" t="s">
        <v>45</v>
      </c>
      <c r="J75">
        <v>0</v>
      </c>
      <c r="K75">
        <v>72</v>
      </c>
      <c r="L75">
        <v>72</v>
      </c>
      <c r="M75">
        <v>52</v>
      </c>
      <c r="N75">
        <v>359.41268300008898</v>
      </c>
      <c r="S75">
        <v>359.40410240006099</v>
      </c>
      <c r="T75">
        <v>359.41268300008898</v>
      </c>
      <c r="U75">
        <v>360.41258340002901</v>
      </c>
      <c r="V75">
        <v>360.41258340002901</v>
      </c>
      <c r="W75">
        <v>360.41258340002901</v>
      </c>
      <c r="X75">
        <v>363.03292200004199</v>
      </c>
      <c r="Y75" t="s">
        <v>46</v>
      </c>
      <c r="Z75">
        <v>2.6074701999314098</v>
      </c>
      <c r="AA75" t="s">
        <v>45</v>
      </c>
      <c r="AF75" t="s">
        <v>39</v>
      </c>
      <c r="AG75">
        <v>1</v>
      </c>
      <c r="AH75" t="s">
        <v>40</v>
      </c>
      <c r="AI75" t="s">
        <v>41</v>
      </c>
      <c r="AK75" t="s">
        <v>42</v>
      </c>
      <c r="AL75">
        <v>60.129109226439297</v>
      </c>
      <c r="AM75" t="s">
        <v>43</v>
      </c>
    </row>
    <row r="76" spans="1:39" x14ac:dyDescent="0.35">
      <c r="A76">
        <v>12</v>
      </c>
      <c r="B76">
        <v>24</v>
      </c>
      <c r="C76">
        <v>4</v>
      </c>
      <c r="D76">
        <v>73</v>
      </c>
      <c r="E76">
        <v>73</v>
      </c>
      <c r="F76">
        <v>0</v>
      </c>
      <c r="G76" t="s">
        <v>44</v>
      </c>
      <c r="H76">
        <v>2.8701072999974699</v>
      </c>
      <c r="I76" t="s">
        <v>45</v>
      </c>
      <c r="J76">
        <v>0</v>
      </c>
      <c r="K76">
        <v>73</v>
      </c>
      <c r="L76">
        <v>73</v>
      </c>
      <c r="M76">
        <v>46</v>
      </c>
      <c r="N76">
        <v>363.04795799998101</v>
      </c>
      <c r="S76">
        <v>363.04030700004603</v>
      </c>
      <c r="T76">
        <v>363.04795799998101</v>
      </c>
      <c r="U76">
        <v>364.04571840004002</v>
      </c>
      <c r="V76">
        <v>364.04571840004002</v>
      </c>
      <c r="W76">
        <v>364.06249490007701</v>
      </c>
      <c r="X76">
        <v>366.92971880000499</v>
      </c>
      <c r="Y76" t="s">
        <v>44</v>
      </c>
      <c r="Z76">
        <v>2.8701072999974699</v>
      </c>
      <c r="AA76" t="s">
        <v>45</v>
      </c>
      <c r="AF76" t="s">
        <v>39</v>
      </c>
      <c r="AG76">
        <v>1</v>
      </c>
      <c r="AH76" t="s">
        <v>40</v>
      </c>
      <c r="AI76" t="s">
        <v>41</v>
      </c>
      <c r="AK76" t="s">
        <v>42</v>
      </c>
      <c r="AL76">
        <v>60.129109226439297</v>
      </c>
      <c r="AM76" t="s">
        <v>43</v>
      </c>
    </row>
    <row r="77" spans="1:39" x14ac:dyDescent="0.35">
      <c r="A77">
        <v>67</v>
      </c>
      <c r="B77">
        <v>75</v>
      </c>
      <c r="C77">
        <v>119</v>
      </c>
      <c r="D77">
        <v>74</v>
      </c>
      <c r="E77">
        <v>74</v>
      </c>
      <c r="F77">
        <v>0</v>
      </c>
      <c r="G77" t="s">
        <v>46</v>
      </c>
      <c r="H77">
        <v>3.06756720005068</v>
      </c>
      <c r="I77" t="s">
        <v>45</v>
      </c>
      <c r="J77">
        <v>0</v>
      </c>
      <c r="K77">
        <v>74</v>
      </c>
      <c r="L77">
        <v>74</v>
      </c>
      <c r="M77">
        <v>5</v>
      </c>
      <c r="N77">
        <v>366.94540960004002</v>
      </c>
      <c r="S77">
        <v>366.93877610005399</v>
      </c>
      <c r="T77">
        <v>366.94540960004002</v>
      </c>
      <c r="U77">
        <v>367.92940230004001</v>
      </c>
      <c r="V77">
        <v>367.92940230004001</v>
      </c>
      <c r="W77">
        <v>367.94631360005502</v>
      </c>
      <c r="X77">
        <v>370.99798830004801</v>
      </c>
      <c r="Y77" t="s">
        <v>46</v>
      </c>
      <c r="Z77">
        <v>3.06756720005068</v>
      </c>
      <c r="AA77" t="s">
        <v>45</v>
      </c>
      <c r="AF77" t="s">
        <v>39</v>
      </c>
      <c r="AG77">
        <v>1</v>
      </c>
      <c r="AH77" t="s">
        <v>40</v>
      </c>
      <c r="AI77" t="s">
        <v>41</v>
      </c>
      <c r="AK77" t="s">
        <v>42</v>
      </c>
      <c r="AL77">
        <v>60.129109226439297</v>
      </c>
      <c r="AM77" t="s">
        <v>43</v>
      </c>
    </row>
    <row r="78" spans="1:39" x14ac:dyDescent="0.35">
      <c r="A78">
        <v>49</v>
      </c>
      <c r="B78">
        <v>60</v>
      </c>
      <c r="C78">
        <v>89</v>
      </c>
      <c r="D78">
        <v>75</v>
      </c>
      <c r="E78">
        <v>75</v>
      </c>
      <c r="F78">
        <v>0</v>
      </c>
      <c r="G78" t="s">
        <v>46</v>
      </c>
      <c r="H78">
        <v>2.1222226000390898</v>
      </c>
      <c r="I78" t="s">
        <v>45</v>
      </c>
      <c r="J78">
        <v>0</v>
      </c>
      <c r="K78">
        <v>75</v>
      </c>
      <c r="L78">
        <v>75</v>
      </c>
      <c r="M78">
        <v>4</v>
      </c>
      <c r="N78">
        <v>371.01218660001098</v>
      </c>
      <c r="S78">
        <v>371.00563889998</v>
      </c>
      <c r="T78">
        <v>371.01218660001098</v>
      </c>
      <c r="U78">
        <v>372.01187729998401</v>
      </c>
      <c r="V78">
        <v>372.01187729998401</v>
      </c>
      <c r="W78">
        <v>372.01187729998401</v>
      </c>
      <c r="X78">
        <v>374.14689299999702</v>
      </c>
      <c r="Y78" t="s">
        <v>46</v>
      </c>
      <c r="Z78">
        <v>2.1222226000390898</v>
      </c>
      <c r="AA78" t="s">
        <v>45</v>
      </c>
      <c r="AF78" t="s">
        <v>39</v>
      </c>
      <c r="AG78">
        <v>1</v>
      </c>
      <c r="AH78" t="s">
        <v>40</v>
      </c>
      <c r="AI78" t="s">
        <v>41</v>
      </c>
      <c r="AK78" t="s">
        <v>42</v>
      </c>
      <c r="AL78">
        <v>60.129109226439297</v>
      </c>
      <c r="AM78" t="s">
        <v>43</v>
      </c>
    </row>
    <row r="79" spans="1:39" x14ac:dyDescent="0.35">
      <c r="A79">
        <v>52</v>
      </c>
      <c r="B79">
        <v>105</v>
      </c>
      <c r="C79">
        <v>24</v>
      </c>
      <c r="D79">
        <v>76</v>
      </c>
      <c r="E79">
        <v>76</v>
      </c>
      <c r="F79">
        <v>0</v>
      </c>
      <c r="G79" t="s">
        <v>46</v>
      </c>
      <c r="H79">
        <v>2.10787850001361</v>
      </c>
      <c r="I79" t="s">
        <v>45</v>
      </c>
      <c r="J79">
        <v>0</v>
      </c>
      <c r="K79">
        <v>76</v>
      </c>
      <c r="L79">
        <v>76</v>
      </c>
      <c r="M79">
        <v>66</v>
      </c>
      <c r="N79">
        <v>374.16202970000398</v>
      </c>
      <c r="S79">
        <v>374.155416700057</v>
      </c>
      <c r="T79">
        <v>374.16202970000398</v>
      </c>
      <c r="U79">
        <v>375.16273700003501</v>
      </c>
      <c r="V79">
        <v>375.16273700003501</v>
      </c>
      <c r="W79">
        <v>375.16273700003501</v>
      </c>
      <c r="X79">
        <v>377.28091169998498</v>
      </c>
      <c r="Y79" t="s">
        <v>46</v>
      </c>
      <c r="Z79">
        <v>2.10787850001361</v>
      </c>
      <c r="AA79" t="s">
        <v>45</v>
      </c>
      <c r="AF79" t="s">
        <v>39</v>
      </c>
      <c r="AG79">
        <v>1</v>
      </c>
      <c r="AH79" t="s">
        <v>40</v>
      </c>
      <c r="AI79" t="s">
        <v>41</v>
      </c>
      <c r="AK79" t="s">
        <v>42</v>
      </c>
      <c r="AL79">
        <v>60.129109226439297</v>
      </c>
      <c r="AM79" t="s">
        <v>43</v>
      </c>
    </row>
    <row r="80" spans="1:39" x14ac:dyDescent="0.35">
      <c r="A80">
        <v>38</v>
      </c>
      <c r="B80">
        <v>76</v>
      </c>
      <c r="C80">
        <v>17</v>
      </c>
      <c r="D80">
        <v>77</v>
      </c>
      <c r="E80">
        <v>77</v>
      </c>
      <c r="F80">
        <v>0</v>
      </c>
      <c r="G80" t="s">
        <v>46</v>
      </c>
      <c r="H80">
        <v>2.0055833000223999</v>
      </c>
      <c r="I80" t="s">
        <v>45</v>
      </c>
      <c r="J80">
        <v>0</v>
      </c>
      <c r="K80">
        <v>77</v>
      </c>
      <c r="L80">
        <v>77</v>
      </c>
      <c r="M80">
        <v>59</v>
      </c>
      <c r="N80">
        <v>377.29539920005402</v>
      </c>
      <c r="S80">
        <v>377.28944030008199</v>
      </c>
      <c r="T80">
        <v>377.29539920005402</v>
      </c>
      <c r="U80">
        <v>378.29593460005702</v>
      </c>
      <c r="V80">
        <v>378.29593460005702</v>
      </c>
      <c r="W80">
        <v>378.29593460005702</v>
      </c>
      <c r="X80">
        <v>380.31317310000298</v>
      </c>
      <c r="Y80" t="s">
        <v>46</v>
      </c>
      <c r="Z80">
        <v>2.0055833000223999</v>
      </c>
      <c r="AA80" t="s">
        <v>45</v>
      </c>
      <c r="AF80" t="s">
        <v>39</v>
      </c>
      <c r="AG80">
        <v>1</v>
      </c>
      <c r="AH80" t="s">
        <v>40</v>
      </c>
      <c r="AI80" t="s">
        <v>41</v>
      </c>
      <c r="AK80" t="s">
        <v>42</v>
      </c>
      <c r="AL80">
        <v>60.129109226439297</v>
      </c>
      <c r="AM80" t="s">
        <v>43</v>
      </c>
    </row>
    <row r="81" spans="1:39" x14ac:dyDescent="0.35">
      <c r="A81">
        <v>68</v>
      </c>
      <c r="B81">
        <v>145</v>
      </c>
      <c r="C81">
        <v>32</v>
      </c>
      <c r="D81">
        <v>78</v>
      </c>
      <c r="E81">
        <v>78</v>
      </c>
      <c r="F81">
        <v>0</v>
      </c>
      <c r="G81" t="s">
        <v>44</v>
      </c>
      <c r="H81">
        <v>3.1509886999847301</v>
      </c>
      <c r="I81" t="s">
        <v>45</v>
      </c>
      <c r="J81">
        <v>0</v>
      </c>
      <c r="K81">
        <v>78</v>
      </c>
      <c r="L81">
        <v>78</v>
      </c>
      <c r="M81">
        <v>74</v>
      </c>
      <c r="N81">
        <v>380.32887359999501</v>
      </c>
      <c r="S81">
        <v>380.32170099997802</v>
      </c>
      <c r="T81">
        <v>380.32887359999501</v>
      </c>
      <c r="U81">
        <v>381.31235160003399</v>
      </c>
      <c r="V81">
        <v>381.31235160003399</v>
      </c>
      <c r="W81">
        <v>381.32913960004203</v>
      </c>
      <c r="X81">
        <v>384.46392490004598</v>
      </c>
      <c r="Y81" t="s">
        <v>44</v>
      </c>
      <c r="Z81">
        <v>3.1509886999847301</v>
      </c>
      <c r="AA81" t="s">
        <v>45</v>
      </c>
      <c r="AF81" t="s">
        <v>39</v>
      </c>
      <c r="AG81">
        <v>1</v>
      </c>
      <c r="AH81" t="s">
        <v>40</v>
      </c>
      <c r="AI81" t="s">
        <v>41</v>
      </c>
      <c r="AK81" t="s">
        <v>42</v>
      </c>
      <c r="AL81">
        <v>60.129109226439297</v>
      </c>
      <c r="AM81" t="s">
        <v>43</v>
      </c>
    </row>
    <row r="82" spans="1:39" x14ac:dyDescent="0.35">
      <c r="A82">
        <v>45</v>
      </c>
      <c r="B82">
        <v>72</v>
      </c>
      <c r="C82">
        <v>55</v>
      </c>
      <c r="D82">
        <v>79</v>
      </c>
      <c r="E82">
        <v>79</v>
      </c>
      <c r="F82">
        <v>0</v>
      </c>
      <c r="G82" t="s">
        <v>46</v>
      </c>
      <c r="H82">
        <v>2.9286281999666199</v>
      </c>
      <c r="I82" t="s">
        <v>45</v>
      </c>
      <c r="J82">
        <v>0</v>
      </c>
      <c r="K82">
        <v>79</v>
      </c>
      <c r="L82">
        <v>79</v>
      </c>
      <c r="M82">
        <v>18</v>
      </c>
      <c r="N82">
        <v>384.47885580000002</v>
      </c>
      <c r="S82">
        <v>384.47085819998699</v>
      </c>
      <c r="T82">
        <v>384.47885580000002</v>
      </c>
      <c r="U82">
        <v>385.47905600001098</v>
      </c>
      <c r="V82">
        <v>385.47905600001098</v>
      </c>
      <c r="W82">
        <v>385.47905600001098</v>
      </c>
      <c r="X82">
        <v>388.41254699998501</v>
      </c>
      <c r="Y82" t="s">
        <v>46</v>
      </c>
      <c r="Z82">
        <v>2.9286281999666199</v>
      </c>
      <c r="AA82" t="s">
        <v>45</v>
      </c>
      <c r="AF82" t="s">
        <v>39</v>
      </c>
      <c r="AG82">
        <v>1</v>
      </c>
      <c r="AH82" t="s">
        <v>40</v>
      </c>
      <c r="AI82" t="s">
        <v>41</v>
      </c>
      <c r="AK82" t="s">
        <v>42</v>
      </c>
      <c r="AL82">
        <v>60.129109226439297</v>
      </c>
      <c r="AM82" t="s">
        <v>43</v>
      </c>
    </row>
    <row r="83" spans="1:39" x14ac:dyDescent="0.35">
      <c r="A83">
        <v>104</v>
      </c>
      <c r="B83">
        <v>235</v>
      </c>
      <c r="C83">
        <v>50</v>
      </c>
      <c r="D83">
        <v>80</v>
      </c>
      <c r="E83">
        <v>80</v>
      </c>
      <c r="F83">
        <v>0</v>
      </c>
      <c r="G83" t="s">
        <v>44</v>
      </c>
      <c r="H83">
        <v>1.2249509999528501</v>
      </c>
      <c r="I83" t="s">
        <v>45</v>
      </c>
      <c r="J83">
        <v>0</v>
      </c>
      <c r="K83">
        <v>80</v>
      </c>
      <c r="L83">
        <v>80</v>
      </c>
      <c r="M83">
        <v>92</v>
      </c>
      <c r="N83">
        <v>388.42839150002601</v>
      </c>
      <c r="S83">
        <v>388.42098970001098</v>
      </c>
      <c r="T83">
        <v>388.42839150002601</v>
      </c>
      <c r="U83">
        <v>389.412577399984</v>
      </c>
      <c r="V83">
        <v>389.412577399984</v>
      </c>
      <c r="W83">
        <v>389.42904379998799</v>
      </c>
      <c r="X83">
        <v>390.64650150004297</v>
      </c>
      <c r="Y83" t="s">
        <v>44</v>
      </c>
      <c r="Z83">
        <v>1.2249509999528501</v>
      </c>
      <c r="AA83" t="s">
        <v>45</v>
      </c>
      <c r="AF83" t="s">
        <v>39</v>
      </c>
      <c r="AG83">
        <v>1</v>
      </c>
      <c r="AH83" t="s">
        <v>40</v>
      </c>
      <c r="AI83" t="s">
        <v>41</v>
      </c>
      <c r="AK83" t="s">
        <v>42</v>
      </c>
      <c r="AL83">
        <v>60.129109226439297</v>
      </c>
      <c r="AM83" t="s">
        <v>43</v>
      </c>
    </row>
    <row r="84" spans="1:39" x14ac:dyDescent="0.35">
      <c r="A84">
        <v>92</v>
      </c>
      <c r="B84">
        <v>140</v>
      </c>
      <c r="C84">
        <v>165</v>
      </c>
      <c r="D84">
        <v>81</v>
      </c>
      <c r="E84">
        <v>81</v>
      </c>
      <c r="F84">
        <v>0</v>
      </c>
      <c r="G84" t="s">
        <v>46</v>
      </c>
      <c r="H84">
        <v>2.3480631000129502</v>
      </c>
      <c r="I84" t="s">
        <v>45</v>
      </c>
      <c r="J84">
        <v>0</v>
      </c>
      <c r="K84">
        <v>81</v>
      </c>
      <c r="L84">
        <v>81</v>
      </c>
      <c r="M84">
        <v>40</v>
      </c>
      <c r="N84">
        <v>390.66195780003898</v>
      </c>
      <c r="S84">
        <v>390.65364530007298</v>
      </c>
      <c r="T84">
        <v>390.66195780003898</v>
      </c>
      <c r="U84">
        <v>391.64563560008497</v>
      </c>
      <c r="V84">
        <v>391.64563560008497</v>
      </c>
      <c r="W84">
        <v>391.662068100064</v>
      </c>
      <c r="X84">
        <v>393.99570720002498</v>
      </c>
      <c r="Y84" t="s">
        <v>46</v>
      </c>
      <c r="Z84">
        <v>2.3480631000129502</v>
      </c>
      <c r="AA84" t="s">
        <v>45</v>
      </c>
      <c r="AF84" t="s">
        <v>39</v>
      </c>
      <c r="AG84">
        <v>1</v>
      </c>
      <c r="AH84" t="s">
        <v>40</v>
      </c>
      <c r="AI84" t="s">
        <v>41</v>
      </c>
      <c r="AK84" t="s">
        <v>42</v>
      </c>
      <c r="AL84">
        <v>60.129109226439297</v>
      </c>
      <c r="AM84" t="s">
        <v>43</v>
      </c>
    </row>
    <row r="85" spans="1:39" x14ac:dyDescent="0.35">
      <c r="A85">
        <v>106</v>
      </c>
      <c r="B85">
        <v>240</v>
      </c>
      <c r="C85">
        <v>51</v>
      </c>
      <c r="D85">
        <v>82</v>
      </c>
      <c r="E85">
        <v>82</v>
      </c>
      <c r="F85">
        <v>0</v>
      </c>
      <c r="G85" t="s">
        <v>46</v>
      </c>
      <c r="H85">
        <v>3.0820209000958099</v>
      </c>
      <c r="I85" t="s">
        <v>45</v>
      </c>
      <c r="J85">
        <v>0</v>
      </c>
      <c r="K85">
        <v>82</v>
      </c>
      <c r="L85">
        <v>82</v>
      </c>
      <c r="M85">
        <v>93</v>
      </c>
      <c r="N85">
        <v>394.01155240007199</v>
      </c>
      <c r="S85">
        <v>394.002473600092</v>
      </c>
      <c r="T85">
        <v>394.01155240007199</v>
      </c>
      <c r="U85">
        <v>394.99672579998099</v>
      </c>
      <c r="V85">
        <v>394.99672579998099</v>
      </c>
      <c r="W85">
        <v>395.01239799999098</v>
      </c>
      <c r="X85">
        <v>398.07980080007098</v>
      </c>
      <c r="Y85" t="s">
        <v>46</v>
      </c>
      <c r="Z85">
        <v>3.0820209000958099</v>
      </c>
      <c r="AA85" t="s">
        <v>45</v>
      </c>
      <c r="AF85" t="s">
        <v>39</v>
      </c>
      <c r="AG85">
        <v>1</v>
      </c>
      <c r="AH85" t="s">
        <v>40</v>
      </c>
      <c r="AI85" t="s">
        <v>41</v>
      </c>
      <c r="AK85" t="s">
        <v>42</v>
      </c>
      <c r="AL85">
        <v>60.129109226439297</v>
      </c>
      <c r="AM85" t="s">
        <v>43</v>
      </c>
    </row>
    <row r="86" spans="1:39" x14ac:dyDescent="0.35">
      <c r="A86">
        <v>64</v>
      </c>
      <c r="B86">
        <v>135</v>
      </c>
      <c r="C86">
        <v>30</v>
      </c>
      <c r="D86">
        <v>83</v>
      </c>
      <c r="E86">
        <v>83</v>
      </c>
      <c r="F86">
        <v>0</v>
      </c>
      <c r="G86" t="s">
        <v>46</v>
      </c>
      <c r="H86">
        <v>3.2689603000180698</v>
      </c>
      <c r="I86" t="s">
        <v>45</v>
      </c>
      <c r="J86">
        <v>0</v>
      </c>
      <c r="K86">
        <v>83</v>
      </c>
      <c r="L86">
        <v>83</v>
      </c>
      <c r="M86">
        <v>72</v>
      </c>
      <c r="N86">
        <v>398.09541589999498</v>
      </c>
      <c r="S86">
        <v>398.08715480007203</v>
      </c>
      <c r="T86">
        <v>398.09541589999498</v>
      </c>
      <c r="U86">
        <v>399.07893239997702</v>
      </c>
      <c r="V86">
        <v>399.07893239997702</v>
      </c>
      <c r="W86">
        <v>399.09537039999799</v>
      </c>
      <c r="X86">
        <v>402.34953400003701</v>
      </c>
      <c r="Y86" t="s">
        <v>46</v>
      </c>
      <c r="Z86">
        <v>3.2689603000180698</v>
      </c>
      <c r="AA86" t="s">
        <v>45</v>
      </c>
      <c r="AF86" t="s">
        <v>39</v>
      </c>
      <c r="AG86">
        <v>1</v>
      </c>
      <c r="AH86" t="s">
        <v>40</v>
      </c>
      <c r="AI86" t="s">
        <v>41</v>
      </c>
      <c r="AK86" t="s">
        <v>42</v>
      </c>
      <c r="AL86">
        <v>60.129109226439297</v>
      </c>
      <c r="AM86" t="s">
        <v>43</v>
      </c>
    </row>
    <row r="87" spans="1:39" x14ac:dyDescent="0.35">
      <c r="A87">
        <v>48</v>
      </c>
      <c r="B87">
        <v>96</v>
      </c>
      <c r="C87">
        <v>22</v>
      </c>
      <c r="D87">
        <v>84</v>
      </c>
      <c r="E87">
        <v>84</v>
      </c>
      <c r="F87">
        <v>0</v>
      </c>
      <c r="G87" t="s">
        <v>46</v>
      </c>
      <c r="H87">
        <v>2.8653447000542598</v>
      </c>
      <c r="I87" t="s">
        <v>45</v>
      </c>
      <c r="J87">
        <v>0</v>
      </c>
      <c r="K87">
        <v>84</v>
      </c>
      <c r="L87">
        <v>84</v>
      </c>
      <c r="M87">
        <v>64</v>
      </c>
      <c r="N87">
        <v>402.36130039999199</v>
      </c>
      <c r="S87">
        <v>402.355958800064</v>
      </c>
      <c r="T87">
        <v>402.36130039999199</v>
      </c>
      <c r="U87">
        <v>403.36176040000203</v>
      </c>
      <c r="V87">
        <v>403.36176040000203</v>
      </c>
      <c r="W87">
        <v>403.36176040000203</v>
      </c>
      <c r="X87">
        <v>406.22933880006798</v>
      </c>
      <c r="Y87" t="s">
        <v>46</v>
      </c>
      <c r="Z87">
        <v>2.8653447000542598</v>
      </c>
      <c r="AA87" t="s">
        <v>45</v>
      </c>
      <c r="AF87" t="s">
        <v>39</v>
      </c>
      <c r="AG87">
        <v>1</v>
      </c>
      <c r="AH87" t="s">
        <v>40</v>
      </c>
      <c r="AI87" t="s">
        <v>41</v>
      </c>
      <c r="AK87" t="s">
        <v>42</v>
      </c>
      <c r="AL87">
        <v>60.129109226439297</v>
      </c>
      <c r="AM87" t="s">
        <v>43</v>
      </c>
    </row>
    <row r="88" spans="1:39" x14ac:dyDescent="0.35">
      <c r="A88">
        <v>98</v>
      </c>
      <c r="B88">
        <v>155</v>
      </c>
      <c r="C88">
        <v>180</v>
      </c>
      <c r="D88">
        <v>85</v>
      </c>
      <c r="E88">
        <v>85</v>
      </c>
      <c r="F88">
        <v>0</v>
      </c>
      <c r="G88" t="s">
        <v>46</v>
      </c>
      <c r="H88">
        <v>5.7187655000016004</v>
      </c>
      <c r="I88" t="s">
        <v>45</v>
      </c>
      <c r="J88">
        <v>0</v>
      </c>
      <c r="K88">
        <v>85</v>
      </c>
      <c r="L88">
        <v>85</v>
      </c>
      <c r="M88">
        <v>43</v>
      </c>
      <c r="N88">
        <v>406.245282200048</v>
      </c>
      <c r="S88">
        <v>406.23656069999498</v>
      </c>
      <c r="T88">
        <v>406.245282200048</v>
      </c>
      <c r="U88">
        <v>407.22863140003699</v>
      </c>
      <c r="V88">
        <v>407.22863140003699</v>
      </c>
      <c r="W88">
        <v>407.24538330000303</v>
      </c>
      <c r="X88">
        <v>412.94816760008598</v>
      </c>
      <c r="Y88" t="s">
        <v>46</v>
      </c>
      <c r="Z88">
        <v>5.7187655000016004</v>
      </c>
      <c r="AA88" t="s">
        <v>45</v>
      </c>
      <c r="AF88" t="s">
        <v>39</v>
      </c>
      <c r="AG88">
        <v>1</v>
      </c>
      <c r="AH88" t="s">
        <v>40</v>
      </c>
      <c r="AI88" t="s">
        <v>41</v>
      </c>
      <c r="AK88" t="s">
        <v>42</v>
      </c>
      <c r="AL88">
        <v>60.129109226439297</v>
      </c>
      <c r="AM88" t="s">
        <v>43</v>
      </c>
    </row>
    <row r="89" spans="1:39" x14ac:dyDescent="0.35">
      <c r="A89">
        <v>72</v>
      </c>
      <c r="B89">
        <v>155</v>
      </c>
      <c r="C89">
        <v>34</v>
      </c>
      <c r="D89">
        <v>86</v>
      </c>
      <c r="E89">
        <v>86</v>
      </c>
      <c r="F89">
        <v>0</v>
      </c>
      <c r="G89" t="s">
        <v>46</v>
      </c>
      <c r="H89">
        <v>2.7902931000571698</v>
      </c>
      <c r="I89" t="s">
        <v>45</v>
      </c>
      <c r="J89">
        <v>0</v>
      </c>
      <c r="K89">
        <v>86</v>
      </c>
      <c r="L89">
        <v>86</v>
      </c>
      <c r="M89">
        <v>76</v>
      </c>
      <c r="N89">
        <v>412.96120620006599</v>
      </c>
      <c r="S89">
        <v>412.95496940007399</v>
      </c>
      <c r="T89">
        <v>412.96120620006599</v>
      </c>
      <c r="U89">
        <v>413.96164100000101</v>
      </c>
      <c r="V89">
        <v>413.96164100000101</v>
      </c>
      <c r="W89">
        <v>413.96164100000101</v>
      </c>
      <c r="X89">
        <v>416.763008899986</v>
      </c>
      <c r="Y89" t="s">
        <v>46</v>
      </c>
      <c r="Z89">
        <v>2.7902931000571698</v>
      </c>
      <c r="AA89" t="s">
        <v>45</v>
      </c>
      <c r="AF89" t="s">
        <v>39</v>
      </c>
      <c r="AG89">
        <v>1</v>
      </c>
      <c r="AH89" t="s">
        <v>40</v>
      </c>
      <c r="AI89" t="s">
        <v>41</v>
      </c>
      <c r="AK89" t="s">
        <v>42</v>
      </c>
      <c r="AL89">
        <v>60.129109226439297</v>
      </c>
      <c r="AM89" t="s">
        <v>43</v>
      </c>
    </row>
    <row r="90" spans="1:39" x14ac:dyDescent="0.35">
      <c r="A90">
        <v>58</v>
      </c>
      <c r="B90">
        <v>82</v>
      </c>
      <c r="C90">
        <v>80</v>
      </c>
      <c r="D90">
        <v>87</v>
      </c>
      <c r="E90">
        <v>87</v>
      </c>
      <c r="F90">
        <v>0</v>
      </c>
      <c r="G90" t="s">
        <v>46</v>
      </c>
      <c r="H90">
        <v>1.7986214000266001</v>
      </c>
      <c r="I90" t="s">
        <v>45</v>
      </c>
      <c r="J90">
        <v>0</v>
      </c>
      <c r="K90">
        <v>87</v>
      </c>
      <c r="L90">
        <v>87</v>
      </c>
      <c r="M90">
        <v>23</v>
      </c>
      <c r="N90">
        <v>416.778160599991</v>
      </c>
      <c r="S90">
        <v>416.770398600026</v>
      </c>
      <c r="T90">
        <v>416.778160599991</v>
      </c>
      <c r="U90">
        <v>417.77890430006602</v>
      </c>
      <c r="V90">
        <v>417.77890430006602</v>
      </c>
      <c r="W90">
        <v>417.77890430006602</v>
      </c>
      <c r="X90">
        <v>419.578924200031</v>
      </c>
      <c r="Y90" t="s">
        <v>46</v>
      </c>
      <c r="Z90">
        <v>1.7986214000266001</v>
      </c>
      <c r="AA90" t="s">
        <v>45</v>
      </c>
      <c r="AF90" t="s">
        <v>39</v>
      </c>
      <c r="AG90">
        <v>1</v>
      </c>
      <c r="AH90" t="s">
        <v>40</v>
      </c>
      <c r="AI90" t="s">
        <v>41</v>
      </c>
      <c r="AK90" t="s">
        <v>42</v>
      </c>
      <c r="AL90">
        <v>60.129109226439297</v>
      </c>
      <c r="AM90" t="s">
        <v>43</v>
      </c>
    </row>
    <row r="91" spans="1:39" x14ac:dyDescent="0.35">
      <c r="A91">
        <v>18</v>
      </c>
      <c r="B91">
        <v>36</v>
      </c>
      <c r="C91">
        <v>7</v>
      </c>
      <c r="D91">
        <v>88</v>
      </c>
      <c r="E91">
        <v>88</v>
      </c>
      <c r="F91">
        <v>0</v>
      </c>
      <c r="G91" t="s">
        <v>46</v>
      </c>
      <c r="H91">
        <v>1.3999121999368001</v>
      </c>
      <c r="I91" t="s">
        <v>45</v>
      </c>
      <c r="J91">
        <v>0</v>
      </c>
      <c r="K91">
        <v>88</v>
      </c>
      <c r="L91">
        <v>88</v>
      </c>
      <c r="M91">
        <v>49</v>
      </c>
      <c r="N91">
        <v>419.59480429999502</v>
      </c>
      <c r="S91">
        <v>419.58526030008198</v>
      </c>
      <c r="T91">
        <v>419.59480429999502</v>
      </c>
      <c r="U91">
        <v>420.57820760004603</v>
      </c>
      <c r="V91">
        <v>420.57820760004603</v>
      </c>
      <c r="W91">
        <v>420.595067000016</v>
      </c>
      <c r="X91">
        <v>421.97903290006798</v>
      </c>
      <c r="Y91" t="s">
        <v>46</v>
      </c>
      <c r="Z91">
        <v>1.3999121999368001</v>
      </c>
      <c r="AA91" t="s">
        <v>45</v>
      </c>
      <c r="AF91" t="s">
        <v>39</v>
      </c>
      <c r="AG91">
        <v>1</v>
      </c>
      <c r="AH91" t="s">
        <v>40</v>
      </c>
      <c r="AI91" t="s">
        <v>41</v>
      </c>
      <c r="AK91" t="s">
        <v>42</v>
      </c>
      <c r="AL91">
        <v>60.129109226439297</v>
      </c>
      <c r="AM91" t="s">
        <v>43</v>
      </c>
    </row>
    <row r="92" spans="1:39" x14ac:dyDescent="0.35">
      <c r="A92">
        <v>25</v>
      </c>
      <c r="B92">
        <v>45</v>
      </c>
      <c r="C92">
        <v>16</v>
      </c>
      <c r="D92">
        <v>89</v>
      </c>
      <c r="E92">
        <v>89</v>
      </c>
      <c r="F92">
        <v>0</v>
      </c>
      <c r="G92" t="s">
        <v>46</v>
      </c>
      <c r="H92">
        <v>1.3104211000027099</v>
      </c>
      <c r="I92" t="s">
        <v>45</v>
      </c>
      <c r="J92">
        <v>0</v>
      </c>
      <c r="K92">
        <v>89</v>
      </c>
      <c r="L92">
        <v>89</v>
      </c>
      <c r="M92">
        <v>10</v>
      </c>
      <c r="N92">
        <v>421.994697300018</v>
      </c>
      <c r="S92">
        <v>421.98766029998598</v>
      </c>
      <c r="T92">
        <v>421.994697300018</v>
      </c>
      <c r="U92">
        <v>422.99505590007101</v>
      </c>
      <c r="V92">
        <v>422.99505590007101</v>
      </c>
      <c r="W92">
        <v>422.99505590007101</v>
      </c>
      <c r="X92">
        <v>424.31248520000298</v>
      </c>
      <c r="Y92" t="s">
        <v>46</v>
      </c>
      <c r="Z92">
        <v>1.3104211000027099</v>
      </c>
      <c r="AA92" t="s">
        <v>45</v>
      </c>
      <c r="AF92" t="s">
        <v>39</v>
      </c>
      <c r="AG92">
        <v>1</v>
      </c>
      <c r="AH92" t="s">
        <v>40</v>
      </c>
      <c r="AI92" t="s">
        <v>41</v>
      </c>
      <c r="AK92" t="s">
        <v>42</v>
      </c>
      <c r="AL92">
        <v>60.129109226439297</v>
      </c>
      <c r="AM92" t="s">
        <v>43</v>
      </c>
    </row>
    <row r="93" spans="1:39" x14ac:dyDescent="0.35">
      <c r="A93">
        <v>66</v>
      </c>
      <c r="B93">
        <v>140</v>
      </c>
      <c r="C93">
        <v>31</v>
      </c>
      <c r="D93">
        <v>90</v>
      </c>
      <c r="E93">
        <v>90</v>
      </c>
      <c r="F93">
        <v>0</v>
      </c>
      <c r="G93" t="s">
        <v>46</v>
      </c>
      <c r="H93">
        <v>1.48292890004813</v>
      </c>
      <c r="I93" t="s">
        <v>45</v>
      </c>
      <c r="J93">
        <v>0</v>
      </c>
      <c r="K93">
        <v>90</v>
      </c>
      <c r="L93">
        <v>90</v>
      </c>
      <c r="M93">
        <v>73</v>
      </c>
      <c r="N93">
        <v>424.32796830008698</v>
      </c>
      <c r="S93">
        <v>424.32268670003299</v>
      </c>
      <c r="T93">
        <v>424.32796830008698</v>
      </c>
      <c r="U93">
        <v>425.31157840008302</v>
      </c>
      <c r="V93">
        <v>425.31157840008302</v>
      </c>
      <c r="W93">
        <v>425.32822620007198</v>
      </c>
      <c r="X93">
        <v>426.795577100012</v>
      </c>
      <c r="Y93" t="s">
        <v>46</v>
      </c>
      <c r="Z93">
        <v>1.48292890004813</v>
      </c>
      <c r="AA93" t="s">
        <v>45</v>
      </c>
      <c r="AF93" t="s">
        <v>39</v>
      </c>
      <c r="AG93">
        <v>1</v>
      </c>
      <c r="AH93" t="s">
        <v>40</v>
      </c>
      <c r="AI93" t="s">
        <v>41</v>
      </c>
      <c r="AK93" t="s">
        <v>42</v>
      </c>
      <c r="AL93">
        <v>60.129109226439297</v>
      </c>
      <c r="AM93" t="s">
        <v>43</v>
      </c>
    </row>
    <row r="94" spans="1:39" x14ac:dyDescent="0.35">
      <c r="A94">
        <v>74</v>
      </c>
      <c r="B94">
        <v>160</v>
      </c>
      <c r="C94">
        <v>35</v>
      </c>
      <c r="D94">
        <v>91</v>
      </c>
      <c r="E94">
        <v>91</v>
      </c>
      <c r="F94">
        <v>0</v>
      </c>
      <c r="G94" t="s">
        <v>46</v>
      </c>
      <c r="H94">
        <v>5.1926624999614397</v>
      </c>
      <c r="I94" t="s">
        <v>45</v>
      </c>
      <c r="J94">
        <v>0</v>
      </c>
      <c r="K94">
        <v>91</v>
      </c>
      <c r="L94">
        <v>91</v>
      </c>
      <c r="M94">
        <v>77</v>
      </c>
      <c r="N94">
        <v>426.81095890002302</v>
      </c>
      <c r="S94">
        <v>426.80567820009298</v>
      </c>
      <c r="T94">
        <v>426.81095890002302</v>
      </c>
      <c r="U94">
        <v>427.79523200006201</v>
      </c>
      <c r="V94">
        <v>427.79523200006201</v>
      </c>
      <c r="W94">
        <v>427.81177859997803</v>
      </c>
      <c r="X94">
        <v>432.997206000029</v>
      </c>
      <c r="Y94" t="s">
        <v>46</v>
      </c>
      <c r="Z94">
        <v>5.1926624999614397</v>
      </c>
      <c r="AA94" t="s">
        <v>45</v>
      </c>
      <c r="AF94" t="s">
        <v>39</v>
      </c>
      <c r="AG94">
        <v>1</v>
      </c>
      <c r="AH94" t="s">
        <v>40</v>
      </c>
      <c r="AI94" t="s">
        <v>41</v>
      </c>
      <c r="AK94" t="s">
        <v>42</v>
      </c>
      <c r="AL94">
        <v>60.129109226439297</v>
      </c>
      <c r="AM94" t="s">
        <v>43</v>
      </c>
    </row>
    <row r="95" spans="1:39" x14ac:dyDescent="0.35">
      <c r="A95">
        <v>35</v>
      </c>
      <c r="B95">
        <v>60</v>
      </c>
      <c r="C95">
        <v>35</v>
      </c>
      <c r="D95">
        <v>92</v>
      </c>
      <c r="E95">
        <v>92</v>
      </c>
      <c r="F95">
        <v>0</v>
      </c>
      <c r="G95" t="s">
        <v>46</v>
      </c>
      <c r="H95">
        <v>4.8279586000135097</v>
      </c>
      <c r="I95" t="s">
        <v>45</v>
      </c>
      <c r="J95">
        <v>0</v>
      </c>
      <c r="K95">
        <v>92</v>
      </c>
      <c r="L95">
        <v>92</v>
      </c>
      <c r="M95">
        <v>14</v>
      </c>
      <c r="N95">
        <v>433.01134550001001</v>
      </c>
      <c r="S95">
        <v>433.00366809999099</v>
      </c>
      <c r="T95">
        <v>433.01134550001001</v>
      </c>
      <c r="U95">
        <v>434.01344680006099</v>
      </c>
      <c r="V95">
        <v>434.01344680006099</v>
      </c>
      <c r="W95">
        <v>434.01344680006099</v>
      </c>
      <c r="X95">
        <v>438.84577360004101</v>
      </c>
      <c r="Y95" t="s">
        <v>46</v>
      </c>
      <c r="Z95">
        <v>4.8279586000135097</v>
      </c>
      <c r="AA95" t="s">
        <v>45</v>
      </c>
      <c r="AF95" t="s">
        <v>39</v>
      </c>
      <c r="AG95">
        <v>1</v>
      </c>
      <c r="AH95" t="s">
        <v>40</v>
      </c>
      <c r="AI95" t="s">
        <v>41</v>
      </c>
      <c r="AK95" t="s">
        <v>42</v>
      </c>
      <c r="AL95">
        <v>60.129109226439297</v>
      </c>
      <c r="AM95" t="s">
        <v>43</v>
      </c>
    </row>
    <row r="96" spans="1:39" x14ac:dyDescent="0.35">
      <c r="A96">
        <v>20</v>
      </c>
      <c r="B96">
        <v>40</v>
      </c>
      <c r="C96">
        <v>8</v>
      </c>
      <c r="D96">
        <v>93</v>
      </c>
      <c r="E96">
        <v>93</v>
      </c>
      <c r="F96">
        <v>0</v>
      </c>
      <c r="G96" t="s">
        <v>46</v>
      </c>
      <c r="H96">
        <v>2.3186550000682402</v>
      </c>
      <c r="I96" t="s">
        <v>45</v>
      </c>
      <c r="J96">
        <v>0</v>
      </c>
      <c r="K96">
        <v>93</v>
      </c>
      <c r="L96">
        <v>93</v>
      </c>
      <c r="M96">
        <v>50</v>
      </c>
      <c r="N96">
        <v>438.86093349999197</v>
      </c>
      <c r="S96">
        <v>438.85364760004398</v>
      </c>
      <c r="T96">
        <v>438.86093349999197</v>
      </c>
      <c r="U96">
        <v>439.86082930001402</v>
      </c>
      <c r="V96">
        <v>439.86082930001402</v>
      </c>
      <c r="W96">
        <v>439.86082930001402</v>
      </c>
      <c r="X96">
        <v>442.18007060000599</v>
      </c>
      <c r="Y96" t="s">
        <v>46</v>
      </c>
      <c r="Z96">
        <v>2.3186550000682402</v>
      </c>
      <c r="AA96" t="s">
        <v>45</v>
      </c>
      <c r="AF96" t="s">
        <v>39</v>
      </c>
      <c r="AG96">
        <v>1</v>
      </c>
      <c r="AH96" t="s">
        <v>40</v>
      </c>
      <c r="AI96" t="s">
        <v>41</v>
      </c>
      <c r="AK96" t="s">
        <v>42</v>
      </c>
      <c r="AL96">
        <v>60.129109226439297</v>
      </c>
      <c r="AM96" t="s">
        <v>43</v>
      </c>
    </row>
    <row r="97" spans="1:39" x14ac:dyDescent="0.35">
      <c r="A97">
        <v>42</v>
      </c>
      <c r="B97">
        <v>70</v>
      </c>
      <c r="C97">
        <v>50</v>
      </c>
      <c r="D97">
        <v>94</v>
      </c>
      <c r="E97">
        <v>94</v>
      </c>
      <c r="F97">
        <v>0</v>
      </c>
      <c r="G97" t="s">
        <v>46</v>
      </c>
      <c r="H97">
        <v>1.27737260004505</v>
      </c>
      <c r="I97" t="s">
        <v>45</v>
      </c>
      <c r="J97">
        <v>0</v>
      </c>
      <c r="K97">
        <v>94</v>
      </c>
      <c r="L97">
        <v>94</v>
      </c>
      <c r="M97">
        <v>17</v>
      </c>
      <c r="N97">
        <v>442.19401730003301</v>
      </c>
      <c r="S97">
        <v>442.18795799999498</v>
      </c>
      <c r="T97">
        <v>442.19401730003301</v>
      </c>
      <c r="U97">
        <v>443.19478540006003</v>
      </c>
      <c r="V97">
        <v>443.19478540006003</v>
      </c>
      <c r="W97">
        <v>443.19478540006003</v>
      </c>
      <c r="X97">
        <v>444.478842700016</v>
      </c>
      <c r="Y97" t="s">
        <v>46</v>
      </c>
      <c r="Z97">
        <v>1.27737260004505</v>
      </c>
      <c r="AA97" t="s">
        <v>45</v>
      </c>
      <c r="AF97" t="s">
        <v>39</v>
      </c>
      <c r="AG97">
        <v>1</v>
      </c>
      <c r="AH97" t="s">
        <v>40</v>
      </c>
      <c r="AI97" t="s">
        <v>41</v>
      </c>
      <c r="AK97" t="s">
        <v>42</v>
      </c>
      <c r="AL97">
        <v>60.129109226439297</v>
      </c>
      <c r="AM97" t="s">
        <v>43</v>
      </c>
    </row>
    <row r="98" spans="1:39" x14ac:dyDescent="0.35">
      <c r="A98">
        <v>94</v>
      </c>
      <c r="B98">
        <v>145</v>
      </c>
      <c r="C98">
        <v>170</v>
      </c>
      <c r="D98">
        <v>95</v>
      </c>
      <c r="E98">
        <v>95</v>
      </c>
      <c r="F98">
        <v>0</v>
      </c>
      <c r="G98" t="s">
        <v>46</v>
      </c>
      <c r="H98">
        <v>3.1679140001069701</v>
      </c>
      <c r="I98" t="s">
        <v>45</v>
      </c>
      <c r="J98">
        <v>0</v>
      </c>
      <c r="K98">
        <v>95</v>
      </c>
      <c r="L98">
        <v>95</v>
      </c>
      <c r="M98">
        <v>41</v>
      </c>
      <c r="N98">
        <v>444.49461480008898</v>
      </c>
      <c r="S98">
        <v>444.48620190005698</v>
      </c>
      <c r="T98">
        <v>444.49461480008898</v>
      </c>
      <c r="U98">
        <v>445.47782270004899</v>
      </c>
      <c r="V98">
        <v>445.47782270004899</v>
      </c>
      <c r="W98">
        <v>445.494733100058</v>
      </c>
      <c r="X98">
        <v>448.66142890008598</v>
      </c>
      <c r="Y98" t="s">
        <v>46</v>
      </c>
      <c r="Z98">
        <v>3.1679140001069701</v>
      </c>
      <c r="AA98" t="s">
        <v>45</v>
      </c>
      <c r="AF98" t="s">
        <v>39</v>
      </c>
      <c r="AG98">
        <v>1</v>
      </c>
      <c r="AH98" t="s">
        <v>40</v>
      </c>
      <c r="AI98" t="s">
        <v>41</v>
      </c>
      <c r="AK98" t="s">
        <v>42</v>
      </c>
      <c r="AL98">
        <v>60.129109226439297</v>
      </c>
      <c r="AM98" t="s">
        <v>43</v>
      </c>
    </row>
    <row r="99" spans="1:39" x14ac:dyDescent="0.35">
      <c r="A99">
        <v>55</v>
      </c>
      <c r="B99">
        <v>80</v>
      </c>
      <c r="C99">
        <v>75</v>
      </c>
      <c r="D99">
        <v>96</v>
      </c>
      <c r="E99">
        <v>96</v>
      </c>
      <c r="F99">
        <v>0</v>
      </c>
      <c r="G99" t="s">
        <v>46</v>
      </c>
      <c r="H99">
        <v>8.6989081999054108</v>
      </c>
      <c r="I99" t="s">
        <v>45</v>
      </c>
      <c r="J99">
        <v>0</v>
      </c>
      <c r="K99">
        <v>96</v>
      </c>
      <c r="L99">
        <v>96</v>
      </c>
      <c r="M99">
        <v>22</v>
      </c>
      <c r="N99">
        <v>448.67738560005</v>
      </c>
      <c r="S99">
        <v>448.67112569999802</v>
      </c>
      <c r="T99">
        <v>448.67738560005</v>
      </c>
      <c r="U99">
        <v>449.66062680003199</v>
      </c>
      <c r="V99">
        <v>449.66062680003199</v>
      </c>
      <c r="W99">
        <v>449.67760320007801</v>
      </c>
      <c r="X99">
        <v>458.36154740001001</v>
      </c>
      <c r="Y99" t="s">
        <v>46</v>
      </c>
      <c r="Z99">
        <v>8.6989081999054108</v>
      </c>
      <c r="AA99" t="s">
        <v>45</v>
      </c>
      <c r="AF99" t="s">
        <v>39</v>
      </c>
      <c r="AG99">
        <v>1</v>
      </c>
      <c r="AH99" t="s">
        <v>40</v>
      </c>
      <c r="AI99" t="s">
        <v>41</v>
      </c>
      <c r="AK99" t="s">
        <v>42</v>
      </c>
      <c r="AL99">
        <v>60.129109226439297</v>
      </c>
      <c r="AM99" t="s">
        <v>43</v>
      </c>
    </row>
    <row r="100" spans="1:39" x14ac:dyDescent="0.35">
      <c r="A100">
        <v>76</v>
      </c>
      <c r="B100">
        <v>100</v>
      </c>
      <c r="C100">
        <v>125</v>
      </c>
      <c r="D100">
        <v>97</v>
      </c>
      <c r="E100">
        <v>97</v>
      </c>
      <c r="F100">
        <v>0</v>
      </c>
      <c r="G100" t="s">
        <v>46</v>
      </c>
      <c r="H100">
        <v>6.1467388999881196</v>
      </c>
      <c r="I100" t="s">
        <v>45</v>
      </c>
      <c r="J100">
        <v>0</v>
      </c>
      <c r="K100">
        <v>97</v>
      </c>
      <c r="L100">
        <v>97</v>
      </c>
      <c r="M100">
        <v>32</v>
      </c>
      <c r="N100">
        <v>458.37734540004698</v>
      </c>
      <c r="S100">
        <v>458.36867980007003</v>
      </c>
      <c r="T100">
        <v>458.37734540004698</v>
      </c>
      <c r="U100">
        <v>459.360898500075</v>
      </c>
      <c r="V100">
        <v>459.360898500075</v>
      </c>
      <c r="W100">
        <v>459.37775810004598</v>
      </c>
      <c r="X100">
        <v>465.511444600066</v>
      </c>
      <c r="Y100" t="s">
        <v>46</v>
      </c>
      <c r="Z100">
        <v>6.1467388999881196</v>
      </c>
      <c r="AA100" t="s">
        <v>45</v>
      </c>
      <c r="AF100" t="s">
        <v>39</v>
      </c>
      <c r="AG100">
        <v>1</v>
      </c>
      <c r="AH100" t="s">
        <v>40</v>
      </c>
      <c r="AI100" t="s">
        <v>41</v>
      </c>
      <c r="AK100" t="s">
        <v>42</v>
      </c>
      <c r="AL100">
        <v>60.129109226439297</v>
      </c>
      <c r="AM100" t="s">
        <v>43</v>
      </c>
    </row>
    <row r="101" spans="1:39" x14ac:dyDescent="0.35">
      <c r="A101">
        <v>16</v>
      </c>
      <c r="B101">
        <v>32</v>
      </c>
      <c r="C101">
        <v>6</v>
      </c>
      <c r="D101">
        <v>98</v>
      </c>
      <c r="E101">
        <v>98</v>
      </c>
      <c r="F101">
        <v>0</v>
      </c>
      <c r="G101" t="s">
        <v>44</v>
      </c>
      <c r="H101">
        <v>3.78413309995085</v>
      </c>
      <c r="I101" t="s">
        <v>45</v>
      </c>
      <c r="J101">
        <v>0</v>
      </c>
      <c r="K101">
        <v>98</v>
      </c>
      <c r="L101">
        <v>98</v>
      </c>
      <c r="M101">
        <v>48</v>
      </c>
      <c r="N101">
        <v>465.52740780008003</v>
      </c>
      <c r="S101">
        <v>465.517937000026</v>
      </c>
      <c r="T101">
        <v>465.52740780008003</v>
      </c>
      <c r="U101">
        <v>466.51066400005902</v>
      </c>
      <c r="V101">
        <v>466.51066400005902</v>
      </c>
      <c r="W101">
        <v>466.527638600091</v>
      </c>
      <c r="X101">
        <v>470.29584889998603</v>
      </c>
      <c r="Y101" t="s">
        <v>44</v>
      </c>
      <c r="Z101">
        <v>3.78413309995085</v>
      </c>
      <c r="AA101" t="s">
        <v>45</v>
      </c>
      <c r="AF101" t="s">
        <v>39</v>
      </c>
      <c r="AG101">
        <v>1</v>
      </c>
      <c r="AH101" t="s">
        <v>40</v>
      </c>
      <c r="AI101" t="s">
        <v>41</v>
      </c>
      <c r="AK101" t="s">
        <v>42</v>
      </c>
      <c r="AL101">
        <v>60.129109226439297</v>
      </c>
      <c r="AM101" t="s">
        <v>43</v>
      </c>
    </row>
    <row r="102" spans="1:39" x14ac:dyDescent="0.35">
      <c r="A102">
        <v>46</v>
      </c>
      <c r="B102">
        <v>92</v>
      </c>
      <c r="C102">
        <v>21</v>
      </c>
      <c r="D102">
        <v>99</v>
      </c>
      <c r="E102">
        <v>99</v>
      </c>
      <c r="F102">
        <v>0</v>
      </c>
      <c r="G102" t="s">
        <v>46</v>
      </c>
      <c r="H102">
        <v>1.9685001000761899</v>
      </c>
      <c r="I102" t="s">
        <v>45</v>
      </c>
      <c r="J102">
        <v>0</v>
      </c>
      <c r="K102">
        <v>99</v>
      </c>
      <c r="L102">
        <v>99</v>
      </c>
      <c r="M102">
        <v>63</v>
      </c>
      <c r="N102">
        <v>470.310393400024</v>
      </c>
      <c r="S102">
        <v>470.30349890002901</v>
      </c>
      <c r="T102">
        <v>470.310393400024</v>
      </c>
      <c r="U102">
        <v>471.31038550007997</v>
      </c>
      <c r="V102">
        <v>471.31038550007997</v>
      </c>
      <c r="W102">
        <v>471.31038550007997</v>
      </c>
      <c r="X102">
        <v>473.29531800001803</v>
      </c>
      <c r="Y102" t="s">
        <v>46</v>
      </c>
      <c r="Z102">
        <v>1.9685001000761899</v>
      </c>
      <c r="AA102" t="s">
        <v>45</v>
      </c>
      <c r="AF102" t="s">
        <v>39</v>
      </c>
      <c r="AG102">
        <v>1</v>
      </c>
      <c r="AH102" t="s">
        <v>40</v>
      </c>
      <c r="AI102" t="s">
        <v>41</v>
      </c>
      <c r="AK102" t="s">
        <v>42</v>
      </c>
      <c r="AL102">
        <v>60.129109226439297</v>
      </c>
      <c r="AM102" t="s">
        <v>43</v>
      </c>
    </row>
    <row r="103" spans="1:39" x14ac:dyDescent="0.35">
      <c r="AB103">
        <v>473.29555000003802</v>
      </c>
      <c r="AC103">
        <v>473.310669800033</v>
      </c>
      <c r="AD103">
        <v>475.31040319998198</v>
      </c>
      <c r="AE103">
        <v>475.29457999998698</v>
      </c>
      <c r="AF103" t="s">
        <v>39</v>
      </c>
      <c r="AG103">
        <v>1</v>
      </c>
      <c r="AH103" t="s">
        <v>40</v>
      </c>
      <c r="AI103" t="s">
        <v>41</v>
      </c>
      <c r="AK103" t="s">
        <v>42</v>
      </c>
      <c r="AL103">
        <v>60.129109226439297</v>
      </c>
      <c r="AM10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366E-6444-49B1-AC5B-E3763985521B}">
  <dimension ref="A1:H101"/>
  <sheetViews>
    <sheetView tabSelected="1" workbookViewId="0">
      <selection activeCell="H5" sqref="H5"/>
    </sheetView>
  </sheetViews>
  <sheetFormatPr defaultRowHeight="14.5" x14ac:dyDescent="0.35"/>
  <cols>
    <col min="1" max="1" width="11.6328125" bestFit="1" customWidth="1"/>
    <col min="2" max="2" width="12" bestFit="1" customWidth="1"/>
    <col min="4" max="4" width="12.08984375" bestFit="1" customWidth="1"/>
    <col min="5" max="5" width="19.36328125" bestFit="1" customWidth="1"/>
    <col min="7" max="7" width="33.179687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</v>
      </c>
      <c r="E1" t="s">
        <v>47</v>
      </c>
    </row>
    <row r="2" spans="1:8" x14ac:dyDescent="0.35">
      <c r="A2">
        <v>78</v>
      </c>
      <c r="B2">
        <v>80</v>
      </c>
      <c r="C2">
        <v>162</v>
      </c>
      <c r="D2" t="s">
        <v>44</v>
      </c>
      <c r="E2">
        <f>((B2/A2)-1)/C2</f>
        <v>1.5827793605571326E-4</v>
      </c>
    </row>
    <row r="3" spans="1:8" x14ac:dyDescent="0.35">
      <c r="A3">
        <v>60</v>
      </c>
      <c r="B3">
        <v>84</v>
      </c>
      <c r="C3">
        <v>85</v>
      </c>
      <c r="D3" t="s">
        <v>44</v>
      </c>
      <c r="E3">
        <f t="shared" ref="E2:E33" si="0">((B3/A3)-1)/C3</f>
        <v>4.7058823529411752E-3</v>
      </c>
    </row>
    <row r="4" spans="1:8" x14ac:dyDescent="0.35">
      <c r="A4">
        <v>64</v>
      </c>
      <c r="B4">
        <v>88</v>
      </c>
      <c r="C4">
        <v>95</v>
      </c>
      <c r="D4" t="s">
        <v>44</v>
      </c>
      <c r="E4">
        <f t="shared" si="0"/>
        <v>3.9473684210526317E-3</v>
      </c>
    </row>
    <row r="5" spans="1:8" x14ac:dyDescent="0.35">
      <c r="A5">
        <v>88</v>
      </c>
      <c r="B5">
        <v>130</v>
      </c>
      <c r="C5">
        <v>155</v>
      </c>
      <c r="D5" t="s">
        <v>44</v>
      </c>
      <c r="E5">
        <f t="shared" si="0"/>
        <v>3.0791788856304987E-3</v>
      </c>
      <c r="G5" t="s">
        <v>48</v>
      </c>
      <c r="H5">
        <v>7.5973717639758631E-2</v>
      </c>
    </row>
    <row r="6" spans="1:8" x14ac:dyDescent="0.35">
      <c r="A6">
        <v>108</v>
      </c>
      <c r="B6">
        <v>245</v>
      </c>
      <c r="C6">
        <v>52</v>
      </c>
      <c r="D6" t="s">
        <v>44</v>
      </c>
      <c r="E6">
        <f t="shared" si="0"/>
        <v>2.4394586894586897E-2</v>
      </c>
    </row>
    <row r="7" spans="1:8" x14ac:dyDescent="0.35">
      <c r="A7">
        <v>110</v>
      </c>
      <c r="B7">
        <v>250</v>
      </c>
      <c r="C7">
        <v>53</v>
      </c>
      <c r="D7" t="s">
        <v>44</v>
      </c>
      <c r="E7">
        <f t="shared" si="0"/>
        <v>2.4013722126929676E-2</v>
      </c>
    </row>
    <row r="8" spans="1:8" x14ac:dyDescent="0.35">
      <c r="A8">
        <v>98</v>
      </c>
      <c r="B8">
        <v>220</v>
      </c>
      <c r="C8">
        <v>47</v>
      </c>
      <c r="D8" t="s">
        <v>44</v>
      </c>
      <c r="E8">
        <f t="shared" si="0"/>
        <v>2.6487190620929218E-2</v>
      </c>
    </row>
    <row r="9" spans="1:8" x14ac:dyDescent="0.35">
      <c r="A9">
        <v>86</v>
      </c>
      <c r="B9">
        <v>125</v>
      </c>
      <c r="C9">
        <v>150</v>
      </c>
      <c r="D9" t="s">
        <v>44</v>
      </c>
      <c r="E9">
        <f t="shared" si="0"/>
        <v>3.0232558139534878E-3</v>
      </c>
    </row>
    <row r="10" spans="1:8" x14ac:dyDescent="0.35">
      <c r="A10">
        <v>58</v>
      </c>
      <c r="B10">
        <v>120</v>
      </c>
      <c r="C10">
        <v>27</v>
      </c>
      <c r="D10" t="s">
        <v>44</v>
      </c>
      <c r="E10">
        <f t="shared" si="0"/>
        <v>3.9591315453384422E-2</v>
      </c>
    </row>
    <row r="11" spans="1:8" x14ac:dyDescent="0.35">
      <c r="A11">
        <v>66</v>
      </c>
      <c r="B11">
        <v>90</v>
      </c>
      <c r="C11">
        <v>100</v>
      </c>
      <c r="D11" t="s">
        <v>44</v>
      </c>
      <c r="E11">
        <f t="shared" si="0"/>
        <v>3.6363636363636355E-3</v>
      </c>
    </row>
    <row r="12" spans="1:8" x14ac:dyDescent="0.35">
      <c r="A12">
        <v>116</v>
      </c>
      <c r="B12">
        <v>265</v>
      </c>
      <c r="C12">
        <v>56</v>
      </c>
      <c r="D12" t="s">
        <v>44</v>
      </c>
      <c r="E12">
        <f t="shared" si="0"/>
        <v>2.2937192118226597E-2</v>
      </c>
    </row>
    <row r="13" spans="1:8" x14ac:dyDescent="0.35">
      <c r="A13">
        <v>70</v>
      </c>
      <c r="B13">
        <v>94</v>
      </c>
      <c r="C13">
        <v>110</v>
      </c>
      <c r="D13" t="s">
        <v>44</v>
      </c>
      <c r="E13">
        <f t="shared" si="0"/>
        <v>3.116883116883116E-3</v>
      </c>
    </row>
    <row r="14" spans="1:8" x14ac:dyDescent="0.35">
      <c r="A14">
        <v>10</v>
      </c>
      <c r="B14">
        <v>20</v>
      </c>
      <c r="C14">
        <v>3</v>
      </c>
      <c r="D14" t="s">
        <v>44</v>
      </c>
      <c r="E14">
        <f t="shared" si="0"/>
        <v>0.33333333333333331</v>
      </c>
    </row>
    <row r="15" spans="1:8" x14ac:dyDescent="0.35">
      <c r="A15">
        <v>12</v>
      </c>
      <c r="B15">
        <v>25</v>
      </c>
      <c r="C15">
        <v>5</v>
      </c>
      <c r="D15" t="s">
        <v>44</v>
      </c>
      <c r="E15">
        <f t="shared" si="0"/>
        <v>0.2166666666666667</v>
      </c>
    </row>
    <row r="16" spans="1:8" x14ac:dyDescent="0.35">
      <c r="A16">
        <v>78</v>
      </c>
      <c r="B16">
        <v>105</v>
      </c>
      <c r="C16">
        <v>130</v>
      </c>
      <c r="D16" t="s">
        <v>44</v>
      </c>
      <c r="E16">
        <f t="shared" si="0"/>
        <v>2.6627218934911251E-3</v>
      </c>
    </row>
    <row r="17" spans="1:7" x14ac:dyDescent="0.35">
      <c r="A17">
        <v>80</v>
      </c>
      <c r="B17">
        <v>110</v>
      </c>
      <c r="C17">
        <v>135</v>
      </c>
      <c r="D17" t="s">
        <v>44</v>
      </c>
      <c r="E17">
        <f t="shared" si="0"/>
        <v>2.7777777777777779E-3</v>
      </c>
    </row>
    <row r="18" spans="1:7" x14ac:dyDescent="0.35">
      <c r="A18">
        <v>96</v>
      </c>
      <c r="B18">
        <v>150</v>
      </c>
      <c r="C18">
        <v>175</v>
      </c>
      <c r="D18" t="s">
        <v>44</v>
      </c>
      <c r="E18">
        <f t="shared" si="0"/>
        <v>3.2142857142857142E-3</v>
      </c>
    </row>
    <row r="19" spans="1:7" x14ac:dyDescent="0.35">
      <c r="A19">
        <v>100</v>
      </c>
      <c r="B19">
        <v>225</v>
      </c>
      <c r="C19">
        <v>48</v>
      </c>
      <c r="D19" t="s">
        <v>44</v>
      </c>
      <c r="E19">
        <f t="shared" si="0"/>
        <v>2.6041666666666668E-2</v>
      </c>
    </row>
    <row r="20" spans="1:7" x14ac:dyDescent="0.35">
      <c r="A20">
        <v>92</v>
      </c>
      <c r="B20">
        <v>205</v>
      </c>
      <c r="C20">
        <v>44</v>
      </c>
      <c r="D20" t="s">
        <v>44</v>
      </c>
      <c r="E20">
        <f t="shared" si="0"/>
        <v>2.7915019762845848E-2</v>
      </c>
    </row>
    <row r="21" spans="1:7" x14ac:dyDescent="0.35">
      <c r="A21">
        <v>12</v>
      </c>
      <c r="B21">
        <v>24</v>
      </c>
      <c r="C21">
        <v>4</v>
      </c>
      <c r="D21" t="s">
        <v>44</v>
      </c>
      <c r="E21">
        <f t="shared" si="0"/>
        <v>0.25</v>
      </c>
    </row>
    <row r="22" spans="1:7" x14ac:dyDescent="0.35">
      <c r="A22">
        <v>68</v>
      </c>
      <c r="B22">
        <v>145</v>
      </c>
      <c r="C22">
        <v>32</v>
      </c>
      <c r="D22" t="s">
        <v>44</v>
      </c>
      <c r="E22">
        <f t="shared" si="0"/>
        <v>3.5386029411764705E-2</v>
      </c>
    </row>
    <row r="23" spans="1:7" x14ac:dyDescent="0.35">
      <c r="A23">
        <v>104</v>
      </c>
      <c r="B23">
        <v>235</v>
      </c>
      <c r="C23">
        <v>50</v>
      </c>
      <c r="D23" t="s">
        <v>44</v>
      </c>
      <c r="E23">
        <f t="shared" si="0"/>
        <v>2.5192307692307691E-2</v>
      </c>
    </row>
    <row r="24" spans="1:7" x14ac:dyDescent="0.35">
      <c r="A24">
        <v>16</v>
      </c>
      <c r="B24">
        <v>32</v>
      </c>
      <c r="C24">
        <v>6</v>
      </c>
      <c r="D24" t="s">
        <v>44</v>
      </c>
      <c r="E24">
        <f t="shared" si="0"/>
        <v>0.16666666666666666</v>
      </c>
      <c r="G24">
        <f>GEOMEAN(E24:E25)</f>
        <v>7.5973717639758631E-2</v>
      </c>
    </row>
    <row r="25" spans="1:7" x14ac:dyDescent="0.35">
      <c r="A25">
        <v>70</v>
      </c>
      <c r="B25">
        <v>150</v>
      </c>
      <c r="C25">
        <v>33</v>
      </c>
      <c r="D25" t="s">
        <v>46</v>
      </c>
      <c r="E25">
        <f t="shared" si="0"/>
        <v>3.4632034632034632E-2</v>
      </c>
    </row>
    <row r="26" spans="1:7" x14ac:dyDescent="0.35">
      <c r="A26">
        <v>94</v>
      </c>
      <c r="B26">
        <v>210</v>
      </c>
      <c r="C26">
        <v>45</v>
      </c>
      <c r="D26" t="s">
        <v>46</v>
      </c>
      <c r="E26">
        <f t="shared" si="0"/>
        <v>2.7423167848699758E-2</v>
      </c>
    </row>
    <row r="27" spans="1:7" x14ac:dyDescent="0.35">
      <c r="A27">
        <v>76</v>
      </c>
      <c r="B27">
        <v>165</v>
      </c>
      <c r="C27">
        <v>36</v>
      </c>
      <c r="D27" t="s">
        <v>46</v>
      </c>
      <c r="E27">
        <f t="shared" si="0"/>
        <v>3.2529239766081873E-2</v>
      </c>
    </row>
    <row r="28" spans="1:7" x14ac:dyDescent="0.35">
      <c r="A28">
        <v>50</v>
      </c>
      <c r="B28">
        <v>100</v>
      </c>
      <c r="C28">
        <v>23</v>
      </c>
      <c r="D28" t="s">
        <v>46</v>
      </c>
      <c r="E28">
        <f t="shared" si="0"/>
        <v>4.3478260869565216E-2</v>
      </c>
    </row>
    <row r="29" spans="1:7" x14ac:dyDescent="0.35">
      <c r="A29">
        <v>56</v>
      </c>
      <c r="B29">
        <v>115</v>
      </c>
      <c r="C29">
        <v>26</v>
      </c>
      <c r="D29" t="s">
        <v>46</v>
      </c>
      <c r="E29">
        <f t="shared" si="0"/>
        <v>4.0521978021978017E-2</v>
      </c>
    </row>
    <row r="30" spans="1:7" x14ac:dyDescent="0.35">
      <c r="A30">
        <v>54</v>
      </c>
      <c r="B30">
        <v>110</v>
      </c>
      <c r="C30">
        <v>25</v>
      </c>
      <c r="D30" t="s">
        <v>46</v>
      </c>
      <c r="E30">
        <f t="shared" si="0"/>
        <v>4.1481481481481487E-2</v>
      </c>
    </row>
    <row r="31" spans="1:7" x14ac:dyDescent="0.35">
      <c r="A31">
        <v>20</v>
      </c>
      <c r="B31">
        <v>38</v>
      </c>
      <c r="C31">
        <v>12</v>
      </c>
      <c r="D31" t="s">
        <v>46</v>
      </c>
      <c r="E31">
        <f t="shared" si="0"/>
        <v>7.4999999999999997E-2</v>
      </c>
    </row>
    <row r="32" spans="1:7" x14ac:dyDescent="0.35">
      <c r="A32">
        <v>90</v>
      </c>
      <c r="B32">
        <v>135</v>
      </c>
      <c r="C32">
        <v>160</v>
      </c>
      <c r="D32" t="s">
        <v>46</v>
      </c>
      <c r="E32">
        <f t="shared" si="0"/>
        <v>3.1250000000000002E-3</v>
      </c>
    </row>
    <row r="33" spans="1:5" x14ac:dyDescent="0.35">
      <c r="A33">
        <v>80</v>
      </c>
      <c r="B33">
        <v>175</v>
      </c>
      <c r="C33">
        <v>38</v>
      </c>
      <c r="D33" t="s">
        <v>46</v>
      </c>
      <c r="E33">
        <f t="shared" si="0"/>
        <v>3.125E-2</v>
      </c>
    </row>
    <row r="34" spans="1:5" x14ac:dyDescent="0.35">
      <c r="A34">
        <v>118</v>
      </c>
      <c r="B34">
        <v>270</v>
      </c>
      <c r="C34">
        <v>57</v>
      </c>
      <c r="D34" t="s">
        <v>46</v>
      </c>
      <c r="E34">
        <f t="shared" ref="E34:E65" si="1">((B34/A34)-1)/C34</f>
        <v>2.2598870056497179E-2</v>
      </c>
    </row>
    <row r="35" spans="1:5" x14ac:dyDescent="0.35">
      <c r="A35">
        <v>42</v>
      </c>
      <c r="B35">
        <v>84</v>
      </c>
      <c r="C35">
        <v>19</v>
      </c>
      <c r="D35" t="s">
        <v>46</v>
      </c>
      <c r="E35">
        <f t="shared" si="1"/>
        <v>5.2631578947368418E-2</v>
      </c>
    </row>
    <row r="36" spans="1:5" x14ac:dyDescent="0.35">
      <c r="A36">
        <v>15</v>
      </c>
      <c r="B36">
        <v>35</v>
      </c>
      <c r="C36">
        <v>13</v>
      </c>
      <c r="D36" t="s">
        <v>46</v>
      </c>
      <c r="E36">
        <f t="shared" si="1"/>
        <v>0.10256410256410257</v>
      </c>
    </row>
    <row r="37" spans="1:5" x14ac:dyDescent="0.35">
      <c r="A37">
        <v>102</v>
      </c>
      <c r="B37">
        <v>230</v>
      </c>
      <c r="C37">
        <v>49</v>
      </c>
      <c r="D37" t="s">
        <v>46</v>
      </c>
      <c r="E37">
        <f t="shared" si="1"/>
        <v>2.5610244097639054E-2</v>
      </c>
    </row>
    <row r="38" spans="1:5" x14ac:dyDescent="0.35">
      <c r="A38">
        <v>82</v>
      </c>
      <c r="B38">
        <v>115</v>
      </c>
      <c r="C38">
        <v>140</v>
      </c>
      <c r="D38" t="s">
        <v>46</v>
      </c>
      <c r="E38">
        <f t="shared" si="1"/>
        <v>2.874564459930313E-3</v>
      </c>
    </row>
    <row r="39" spans="1:5" x14ac:dyDescent="0.35">
      <c r="A39">
        <v>53</v>
      </c>
      <c r="B39">
        <v>78</v>
      </c>
      <c r="C39">
        <v>70</v>
      </c>
      <c r="D39" t="s">
        <v>46</v>
      </c>
      <c r="E39">
        <f t="shared" si="1"/>
        <v>6.7385444743935296E-3</v>
      </c>
    </row>
    <row r="40" spans="1:5" x14ac:dyDescent="0.35">
      <c r="A40">
        <v>62</v>
      </c>
      <c r="B40">
        <v>130</v>
      </c>
      <c r="C40">
        <v>29</v>
      </c>
      <c r="D40" t="s">
        <v>46</v>
      </c>
      <c r="E40">
        <f t="shared" si="1"/>
        <v>3.781979977753059E-2</v>
      </c>
    </row>
    <row r="41" spans="1:5" x14ac:dyDescent="0.35">
      <c r="A41">
        <v>40</v>
      </c>
      <c r="B41">
        <v>80</v>
      </c>
      <c r="C41">
        <v>18</v>
      </c>
      <c r="D41" t="s">
        <v>46</v>
      </c>
      <c r="E41">
        <f t="shared" si="1"/>
        <v>5.5555555555555552E-2</v>
      </c>
    </row>
    <row r="42" spans="1:5" x14ac:dyDescent="0.35">
      <c r="A42">
        <v>47</v>
      </c>
      <c r="B42">
        <v>74</v>
      </c>
      <c r="C42">
        <v>60</v>
      </c>
      <c r="D42" t="s">
        <v>46</v>
      </c>
      <c r="E42">
        <f t="shared" si="1"/>
        <v>9.5744680851063847E-3</v>
      </c>
    </row>
    <row r="43" spans="1:5" x14ac:dyDescent="0.35">
      <c r="A43">
        <v>114</v>
      </c>
      <c r="B43">
        <v>260</v>
      </c>
      <c r="C43">
        <v>55</v>
      </c>
      <c r="D43" t="s">
        <v>46</v>
      </c>
      <c r="E43">
        <f t="shared" si="1"/>
        <v>2.328548644338118E-2</v>
      </c>
    </row>
    <row r="44" spans="1:5" x14ac:dyDescent="0.35">
      <c r="A44">
        <v>82</v>
      </c>
      <c r="B44">
        <v>180</v>
      </c>
      <c r="C44">
        <v>39</v>
      </c>
      <c r="D44" t="s">
        <v>46</v>
      </c>
      <c r="E44">
        <f t="shared" si="1"/>
        <v>3.0644152595372114E-2</v>
      </c>
    </row>
    <row r="45" spans="1:5" x14ac:dyDescent="0.35">
      <c r="A45">
        <v>78</v>
      </c>
      <c r="B45">
        <v>170</v>
      </c>
      <c r="C45">
        <v>37</v>
      </c>
      <c r="D45" t="s">
        <v>46</v>
      </c>
      <c r="E45">
        <f t="shared" si="1"/>
        <v>3.1878031878031871E-2</v>
      </c>
    </row>
    <row r="46" spans="1:5" x14ac:dyDescent="0.35">
      <c r="A46">
        <v>50</v>
      </c>
      <c r="B46">
        <v>76</v>
      </c>
      <c r="C46">
        <v>65</v>
      </c>
      <c r="D46" t="s">
        <v>46</v>
      </c>
      <c r="E46">
        <f t="shared" si="1"/>
        <v>8.0000000000000002E-3</v>
      </c>
    </row>
    <row r="47" spans="1:5" x14ac:dyDescent="0.35">
      <c r="A47">
        <v>90</v>
      </c>
      <c r="B47">
        <v>200</v>
      </c>
      <c r="C47">
        <v>43</v>
      </c>
      <c r="D47" t="s">
        <v>46</v>
      </c>
      <c r="E47">
        <f t="shared" si="1"/>
        <v>2.8423772609819122E-2</v>
      </c>
    </row>
    <row r="48" spans="1:5" x14ac:dyDescent="0.35">
      <c r="A48">
        <v>72</v>
      </c>
      <c r="B48">
        <v>96</v>
      </c>
      <c r="C48">
        <v>115</v>
      </c>
      <c r="D48" t="s">
        <v>46</v>
      </c>
      <c r="E48">
        <f t="shared" si="1"/>
        <v>2.8985507246376803E-3</v>
      </c>
    </row>
    <row r="49" spans="1:5" x14ac:dyDescent="0.35">
      <c r="A49">
        <v>86</v>
      </c>
      <c r="B49">
        <v>190</v>
      </c>
      <c r="C49">
        <v>41</v>
      </c>
      <c r="D49" t="s">
        <v>46</v>
      </c>
      <c r="E49">
        <f t="shared" si="1"/>
        <v>2.9495178672716959E-2</v>
      </c>
    </row>
    <row r="50" spans="1:5" x14ac:dyDescent="0.35">
      <c r="A50">
        <v>11</v>
      </c>
      <c r="B50">
        <v>30</v>
      </c>
      <c r="C50">
        <v>7</v>
      </c>
      <c r="D50" t="s">
        <v>46</v>
      </c>
      <c r="E50">
        <f t="shared" si="1"/>
        <v>0.24675324675324672</v>
      </c>
    </row>
    <row r="51" spans="1:5" x14ac:dyDescent="0.35">
      <c r="A51">
        <v>96</v>
      </c>
      <c r="B51">
        <v>215</v>
      </c>
      <c r="C51">
        <v>46</v>
      </c>
      <c r="D51" t="s">
        <v>46</v>
      </c>
      <c r="E51">
        <f t="shared" si="1"/>
        <v>2.6947463768115944E-2</v>
      </c>
    </row>
    <row r="52" spans="1:5" x14ac:dyDescent="0.35">
      <c r="A52">
        <v>88</v>
      </c>
      <c r="B52">
        <v>195</v>
      </c>
      <c r="C52">
        <v>42</v>
      </c>
      <c r="D52" t="s">
        <v>46</v>
      </c>
      <c r="E52">
        <f t="shared" si="1"/>
        <v>2.8950216450216448E-2</v>
      </c>
    </row>
    <row r="53" spans="1:5" x14ac:dyDescent="0.35">
      <c r="A53">
        <v>26</v>
      </c>
      <c r="B53">
        <v>52</v>
      </c>
      <c r="C53">
        <v>11</v>
      </c>
      <c r="D53" t="s">
        <v>46</v>
      </c>
      <c r="E53">
        <f t="shared" si="1"/>
        <v>9.0909090909090912E-2</v>
      </c>
    </row>
    <row r="54" spans="1:5" x14ac:dyDescent="0.35">
      <c r="A54">
        <v>33</v>
      </c>
      <c r="B54">
        <v>55</v>
      </c>
      <c r="C54">
        <v>30</v>
      </c>
      <c r="D54" t="s">
        <v>46</v>
      </c>
      <c r="E54">
        <f t="shared" si="1"/>
        <v>2.2222222222222223E-2</v>
      </c>
    </row>
    <row r="55" spans="1:5" x14ac:dyDescent="0.35">
      <c r="A55">
        <v>84</v>
      </c>
      <c r="B55">
        <v>185</v>
      </c>
      <c r="C55">
        <v>40</v>
      </c>
      <c r="D55" t="s">
        <v>46</v>
      </c>
      <c r="E55">
        <f t="shared" si="1"/>
        <v>3.0059523809523814E-2</v>
      </c>
    </row>
    <row r="56" spans="1:5" x14ac:dyDescent="0.35">
      <c r="A56">
        <v>27</v>
      </c>
      <c r="B56">
        <v>50</v>
      </c>
      <c r="C56">
        <v>21</v>
      </c>
      <c r="D56" t="s">
        <v>46</v>
      </c>
      <c r="E56">
        <f t="shared" si="1"/>
        <v>4.0564373897707229E-2</v>
      </c>
    </row>
    <row r="57" spans="1:5" x14ac:dyDescent="0.35">
      <c r="A57">
        <v>39</v>
      </c>
      <c r="B57">
        <v>68</v>
      </c>
      <c r="C57">
        <v>45</v>
      </c>
      <c r="D57" t="s">
        <v>46</v>
      </c>
      <c r="E57">
        <f t="shared" si="1"/>
        <v>1.6524216524216526E-2</v>
      </c>
    </row>
    <row r="58" spans="1:5" x14ac:dyDescent="0.35">
      <c r="A58">
        <v>112</v>
      </c>
      <c r="B58">
        <v>255</v>
      </c>
      <c r="C58">
        <v>54</v>
      </c>
      <c r="D58" t="s">
        <v>46</v>
      </c>
      <c r="E58">
        <f t="shared" si="1"/>
        <v>2.3644179894179898E-2</v>
      </c>
    </row>
    <row r="59" spans="1:5" x14ac:dyDescent="0.35">
      <c r="A59">
        <v>40</v>
      </c>
      <c r="B59">
        <v>55</v>
      </c>
      <c r="C59">
        <v>62</v>
      </c>
      <c r="D59" t="s">
        <v>46</v>
      </c>
      <c r="E59">
        <f t="shared" si="1"/>
        <v>6.0483870967741934E-3</v>
      </c>
    </row>
    <row r="60" spans="1:5" x14ac:dyDescent="0.35">
      <c r="A60">
        <v>100</v>
      </c>
      <c r="B60">
        <v>160</v>
      </c>
      <c r="C60">
        <v>185</v>
      </c>
      <c r="D60" t="s">
        <v>46</v>
      </c>
      <c r="E60">
        <f t="shared" si="1"/>
        <v>3.2432432432432435E-3</v>
      </c>
    </row>
    <row r="61" spans="1:5" x14ac:dyDescent="0.35">
      <c r="A61">
        <v>37</v>
      </c>
      <c r="B61">
        <v>65</v>
      </c>
      <c r="C61">
        <v>40</v>
      </c>
      <c r="D61" t="s">
        <v>46</v>
      </c>
      <c r="E61">
        <f t="shared" si="1"/>
        <v>1.891891891891892E-2</v>
      </c>
    </row>
    <row r="62" spans="1:5" x14ac:dyDescent="0.35">
      <c r="A62">
        <v>60</v>
      </c>
      <c r="B62">
        <v>125</v>
      </c>
      <c r="C62">
        <v>28</v>
      </c>
      <c r="D62" t="s">
        <v>46</v>
      </c>
      <c r="E62">
        <f t="shared" si="1"/>
        <v>3.8690476190476199E-2</v>
      </c>
    </row>
    <row r="63" spans="1:5" x14ac:dyDescent="0.35">
      <c r="A63">
        <v>30</v>
      </c>
      <c r="B63">
        <v>52</v>
      </c>
      <c r="C63">
        <v>25</v>
      </c>
      <c r="D63" t="s">
        <v>46</v>
      </c>
      <c r="E63">
        <f t="shared" si="1"/>
        <v>2.9333333333333336E-2</v>
      </c>
    </row>
    <row r="64" spans="1:5" x14ac:dyDescent="0.35">
      <c r="A64">
        <v>84</v>
      </c>
      <c r="B64">
        <v>120</v>
      </c>
      <c r="C64">
        <v>145</v>
      </c>
      <c r="D64" t="s">
        <v>46</v>
      </c>
      <c r="E64">
        <f t="shared" si="1"/>
        <v>2.9556650246305421E-3</v>
      </c>
    </row>
    <row r="65" spans="1:5" x14ac:dyDescent="0.35">
      <c r="A65">
        <v>28</v>
      </c>
      <c r="B65">
        <v>48</v>
      </c>
      <c r="C65">
        <v>20</v>
      </c>
      <c r="D65" t="s">
        <v>46</v>
      </c>
      <c r="E65">
        <f t="shared" si="1"/>
        <v>3.5714285714285712E-2</v>
      </c>
    </row>
    <row r="66" spans="1:5" x14ac:dyDescent="0.35">
      <c r="A66">
        <v>34</v>
      </c>
      <c r="B66">
        <v>68</v>
      </c>
      <c r="C66">
        <v>15</v>
      </c>
      <c r="D66" t="s">
        <v>46</v>
      </c>
      <c r="E66">
        <f t="shared" ref="E66:E101" si="2">((B66/A66)-1)/C66</f>
        <v>6.6666666666666666E-2</v>
      </c>
    </row>
    <row r="67" spans="1:5" x14ac:dyDescent="0.35">
      <c r="A67">
        <v>36</v>
      </c>
      <c r="B67">
        <v>72</v>
      </c>
      <c r="C67">
        <v>16</v>
      </c>
      <c r="D67" t="s">
        <v>46</v>
      </c>
      <c r="E67">
        <f t="shared" si="2"/>
        <v>6.25E-2</v>
      </c>
    </row>
    <row r="68" spans="1:5" x14ac:dyDescent="0.35">
      <c r="A68">
        <v>28</v>
      </c>
      <c r="B68">
        <v>56</v>
      </c>
      <c r="C68">
        <v>12</v>
      </c>
      <c r="D68" t="s">
        <v>46</v>
      </c>
      <c r="E68">
        <f t="shared" si="2"/>
        <v>8.3333333333333329E-2</v>
      </c>
    </row>
    <row r="69" spans="1:5" x14ac:dyDescent="0.35">
      <c r="A69">
        <v>68</v>
      </c>
      <c r="B69">
        <v>92</v>
      </c>
      <c r="C69">
        <v>105</v>
      </c>
      <c r="D69" t="s">
        <v>46</v>
      </c>
      <c r="E69">
        <f t="shared" si="2"/>
        <v>3.3613445378151267E-3</v>
      </c>
    </row>
    <row r="70" spans="1:5" x14ac:dyDescent="0.35">
      <c r="A70">
        <v>44</v>
      </c>
      <c r="B70">
        <v>88</v>
      </c>
      <c r="C70">
        <v>20</v>
      </c>
      <c r="D70" t="s">
        <v>46</v>
      </c>
      <c r="E70">
        <f t="shared" si="2"/>
        <v>0.05</v>
      </c>
    </row>
    <row r="71" spans="1:5" x14ac:dyDescent="0.35">
      <c r="A71">
        <v>22</v>
      </c>
      <c r="B71">
        <v>44</v>
      </c>
      <c r="C71">
        <v>9</v>
      </c>
      <c r="D71" t="s">
        <v>46</v>
      </c>
      <c r="E71">
        <f t="shared" si="2"/>
        <v>0.1111111111111111</v>
      </c>
    </row>
    <row r="72" spans="1:5" x14ac:dyDescent="0.35">
      <c r="A72">
        <v>18</v>
      </c>
      <c r="B72">
        <v>32</v>
      </c>
      <c r="C72">
        <v>9</v>
      </c>
      <c r="D72" t="s">
        <v>46</v>
      </c>
      <c r="E72">
        <f t="shared" si="2"/>
        <v>8.6419753086419748E-2</v>
      </c>
    </row>
    <row r="73" spans="1:5" x14ac:dyDescent="0.35">
      <c r="A73">
        <v>30</v>
      </c>
      <c r="B73">
        <v>60</v>
      </c>
      <c r="C73">
        <v>13</v>
      </c>
      <c r="D73" t="s">
        <v>46</v>
      </c>
      <c r="E73">
        <f t="shared" si="2"/>
        <v>7.6923076923076927E-2</v>
      </c>
    </row>
    <row r="74" spans="1:5" x14ac:dyDescent="0.35">
      <c r="A74">
        <v>74</v>
      </c>
      <c r="B74">
        <v>98</v>
      </c>
      <c r="C74">
        <v>120</v>
      </c>
      <c r="D74" t="s">
        <v>46</v>
      </c>
      <c r="E74">
        <f t="shared" si="2"/>
        <v>2.7027027027027029E-3</v>
      </c>
    </row>
    <row r="75" spans="1:5" x14ac:dyDescent="0.35">
      <c r="A75">
        <v>62</v>
      </c>
      <c r="B75">
        <v>86</v>
      </c>
      <c r="C75">
        <v>90</v>
      </c>
      <c r="D75" t="s">
        <v>46</v>
      </c>
      <c r="E75">
        <f t="shared" si="2"/>
        <v>4.3010752688172052E-3</v>
      </c>
    </row>
    <row r="76" spans="1:5" x14ac:dyDescent="0.35">
      <c r="A76">
        <v>32</v>
      </c>
      <c r="B76">
        <v>64</v>
      </c>
      <c r="C76">
        <v>14</v>
      </c>
      <c r="D76" t="s">
        <v>46</v>
      </c>
      <c r="E76">
        <f t="shared" si="2"/>
        <v>7.1428571428571425E-2</v>
      </c>
    </row>
    <row r="77" spans="1:5" x14ac:dyDescent="0.35">
      <c r="A77">
        <v>14</v>
      </c>
      <c r="B77">
        <v>28</v>
      </c>
      <c r="C77">
        <v>5</v>
      </c>
      <c r="D77" t="s">
        <v>46</v>
      </c>
      <c r="E77">
        <f t="shared" si="2"/>
        <v>0.2</v>
      </c>
    </row>
    <row r="78" spans="1:5" x14ac:dyDescent="0.35">
      <c r="A78">
        <v>24</v>
      </c>
      <c r="B78">
        <v>48</v>
      </c>
      <c r="C78">
        <v>10</v>
      </c>
      <c r="D78" t="s">
        <v>46</v>
      </c>
      <c r="E78">
        <f t="shared" si="2"/>
        <v>0.1</v>
      </c>
    </row>
    <row r="79" spans="1:5" x14ac:dyDescent="0.35">
      <c r="A79">
        <v>67</v>
      </c>
      <c r="B79">
        <v>75</v>
      </c>
      <c r="C79">
        <v>119</v>
      </c>
      <c r="D79" t="s">
        <v>46</v>
      </c>
      <c r="E79">
        <f t="shared" si="2"/>
        <v>1.0033864291985443E-3</v>
      </c>
    </row>
    <row r="80" spans="1:5" x14ac:dyDescent="0.35">
      <c r="A80">
        <v>49</v>
      </c>
      <c r="B80">
        <v>60</v>
      </c>
      <c r="C80">
        <v>89</v>
      </c>
      <c r="D80" t="s">
        <v>46</v>
      </c>
      <c r="E80">
        <f t="shared" si="2"/>
        <v>2.522357257509746E-3</v>
      </c>
    </row>
    <row r="81" spans="1:5" x14ac:dyDescent="0.35">
      <c r="A81">
        <v>52</v>
      </c>
      <c r="B81">
        <v>105</v>
      </c>
      <c r="C81">
        <v>24</v>
      </c>
      <c r="D81" t="s">
        <v>46</v>
      </c>
      <c r="E81">
        <f t="shared" si="2"/>
        <v>4.2467948717948713E-2</v>
      </c>
    </row>
    <row r="82" spans="1:5" x14ac:dyDescent="0.35">
      <c r="A82">
        <v>38</v>
      </c>
      <c r="B82">
        <v>76</v>
      </c>
      <c r="C82">
        <v>17</v>
      </c>
      <c r="D82" t="s">
        <v>46</v>
      </c>
      <c r="E82">
        <f t="shared" si="2"/>
        <v>5.8823529411764705E-2</v>
      </c>
    </row>
    <row r="83" spans="1:5" x14ac:dyDescent="0.35">
      <c r="A83">
        <v>45</v>
      </c>
      <c r="B83">
        <v>72</v>
      </c>
      <c r="C83">
        <v>55</v>
      </c>
      <c r="D83" t="s">
        <v>46</v>
      </c>
      <c r="E83">
        <f t="shared" si="2"/>
        <v>1.090909090909091E-2</v>
      </c>
    </row>
    <row r="84" spans="1:5" x14ac:dyDescent="0.35">
      <c r="A84">
        <v>92</v>
      </c>
      <c r="B84">
        <v>140</v>
      </c>
      <c r="C84">
        <v>165</v>
      </c>
      <c r="D84" t="s">
        <v>46</v>
      </c>
      <c r="E84">
        <f t="shared" si="2"/>
        <v>3.1620553359683798E-3</v>
      </c>
    </row>
    <row r="85" spans="1:5" x14ac:dyDescent="0.35">
      <c r="A85">
        <v>106</v>
      </c>
      <c r="B85">
        <v>240</v>
      </c>
      <c r="C85">
        <v>51</v>
      </c>
      <c r="D85" t="s">
        <v>46</v>
      </c>
      <c r="E85">
        <f t="shared" si="2"/>
        <v>2.4787273399926008E-2</v>
      </c>
    </row>
    <row r="86" spans="1:5" x14ac:dyDescent="0.35">
      <c r="A86">
        <v>64</v>
      </c>
      <c r="B86">
        <v>135</v>
      </c>
      <c r="C86">
        <v>30</v>
      </c>
      <c r="D86" t="s">
        <v>46</v>
      </c>
      <c r="E86">
        <f t="shared" si="2"/>
        <v>3.6979166666666667E-2</v>
      </c>
    </row>
    <row r="87" spans="1:5" x14ac:dyDescent="0.35">
      <c r="A87">
        <v>48</v>
      </c>
      <c r="B87">
        <v>96</v>
      </c>
      <c r="C87">
        <v>22</v>
      </c>
      <c r="D87" t="s">
        <v>46</v>
      </c>
      <c r="E87">
        <f t="shared" si="2"/>
        <v>4.5454545454545456E-2</v>
      </c>
    </row>
    <row r="88" spans="1:5" x14ac:dyDescent="0.35">
      <c r="A88">
        <v>98</v>
      </c>
      <c r="B88">
        <v>155</v>
      </c>
      <c r="C88">
        <v>180</v>
      </c>
      <c r="D88" t="s">
        <v>46</v>
      </c>
      <c r="E88">
        <f t="shared" si="2"/>
        <v>3.231292517006803E-3</v>
      </c>
    </row>
    <row r="89" spans="1:5" x14ac:dyDescent="0.35">
      <c r="A89">
        <v>72</v>
      </c>
      <c r="B89">
        <v>155</v>
      </c>
      <c r="C89">
        <v>34</v>
      </c>
      <c r="D89" t="s">
        <v>46</v>
      </c>
      <c r="E89">
        <f t="shared" si="2"/>
        <v>3.3905228758169932E-2</v>
      </c>
    </row>
    <row r="90" spans="1:5" x14ac:dyDescent="0.35">
      <c r="A90">
        <v>58</v>
      </c>
      <c r="B90">
        <v>82</v>
      </c>
      <c r="C90">
        <v>80</v>
      </c>
      <c r="D90" t="s">
        <v>46</v>
      </c>
      <c r="E90">
        <f t="shared" si="2"/>
        <v>5.1724137931034473E-3</v>
      </c>
    </row>
    <row r="91" spans="1:5" x14ac:dyDescent="0.35">
      <c r="A91">
        <v>18</v>
      </c>
      <c r="B91">
        <v>36</v>
      </c>
      <c r="C91">
        <v>7</v>
      </c>
      <c r="D91" t="s">
        <v>46</v>
      </c>
      <c r="E91">
        <f t="shared" si="2"/>
        <v>0.14285714285714285</v>
      </c>
    </row>
    <row r="92" spans="1:5" x14ac:dyDescent="0.35">
      <c r="A92">
        <v>25</v>
      </c>
      <c r="B92">
        <v>45</v>
      </c>
      <c r="C92">
        <v>16</v>
      </c>
      <c r="D92" t="s">
        <v>46</v>
      </c>
      <c r="E92">
        <f t="shared" si="2"/>
        <v>0.05</v>
      </c>
    </row>
    <row r="93" spans="1:5" x14ac:dyDescent="0.35">
      <c r="A93">
        <v>66</v>
      </c>
      <c r="B93">
        <v>140</v>
      </c>
      <c r="C93">
        <v>31</v>
      </c>
      <c r="D93" t="s">
        <v>46</v>
      </c>
      <c r="E93">
        <f t="shared" si="2"/>
        <v>3.6168132942326486E-2</v>
      </c>
    </row>
    <row r="94" spans="1:5" x14ac:dyDescent="0.35">
      <c r="A94">
        <v>74</v>
      </c>
      <c r="B94">
        <v>160</v>
      </c>
      <c r="C94">
        <v>35</v>
      </c>
      <c r="D94" t="s">
        <v>46</v>
      </c>
      <c r="E94">
        <f t="shared" si="2"/>
        <v>3.320463320463321E-2</v>
      </c>
    </row>
    <row r="95" spans="1:5" x14ac:dyDescent="0.35">
      <c r="A95">
        <v>35</v>
      </c>
      <c r="B95">
        <v>60</v>
      </c>
      <c r="C95">
        <v>35</v>
      </c>
      <c r="D95" t="s">
        <v>46</v>
      </c>
      <c r="E95">
        <f t="shared" si="2"/>
        <v>2.0408163265306121E-2</v>
      </c>
    </row>
    <row r="96" spans="1:5" x14ac:dyDescent="0.35">
      <c r="A96">
        <v>20</v>
      </c>
      <c r="B96">
        <v>40</v>
      </c>
      <c r="C96">
        <v>8</v>
      </c>
      <c r="D96" t="s">
        <v>46</v>
      </c>
      <c r="E96">
        <f t="shared" si="2"/>
        <v>0.125</v>
      </c>
    </row>
    <row r="97" spans="1:5" x14ac:dyDescent="0.35">
      <c r="A97">
        <v>42</v>
      </c>
      <c r="B97">
        <v>70</v>
      </c>
      <c r="C97">
        <v>50</v>
      </c>
      <c r="D97" t="s">
        <v>46</v>
      </c>
      <c r="E97">
        <f t="shared" si="2"/>
        <v>1.3333333333333334E-2</v>
      </c>
    </row>
    <row r="98" spans="1:5" x14ac:dyDescent="0.35">
      <c r="A98">
        <v>94</v>
      </c>
      <c r="B98">
        <v>145</v>
      </c>
      <c r="C98">
        <v>170</v>
      </c>
      <c r="D98" t="s">
        <v>46</v>
      </c>
      <c r="E98">
        <f t="shared" si="2"/>
        <v>3.1914893617021279E-3</v>
      </c>
    </row>
    <row r="99" spans="1:5" x14ac:dyDescent="0.35">
      <c r="A99">
        <v>55</v>
      </c>
      <c r="B99">
        <v>80</v>
      </c>
      <c r="C99">
        <v>75</v>
      </c>
      <c r="D99" t="s">
        <v>46</v>
      </c>
      <c r="E99">
        <f t="shared" si="2"/>
        <v>6.0606060606060615E-3</v>
      </c>
    </row>
    <row r="100" spans="1:5" x14ac:dyDescent="0.35">
      <c r="A100">
        <v>76</v>
      </c>
      <c r="B100">
        <v>100</v>
      </c>
      <c r="C100">
        <v>125</v>
      </c>
      <c r="D100" t="s">
        <v>46</v>
      </c>
      <c r="E100">
        <f t="shared" si="2"/>
        <v>2.5263157894736851E-3</v>
      </c>
    </row>
    <row r="101" spans="1:5" x14ac:dyDescent="0.35">
      <c r="A101">
        <v>46</v>
      </c>
      <c r="B101">
        <v>92</v>
      </c>
      <c r="C101">
        <v>21</v>
      </c>
      <c r="D101" t="s">
        <v>46</v>
      </c>
      <c r="E101">
        <f t="shared" si="2"/>
        <v>4.7619047619047616E-2</v>
      </c>
    </row>
  </sheetData>
  <sortState xmlns:xlrd2="http://schemas.microsoft.com/office/spreadsheetml/2017/richdata2" ref="A2:E101">
    <sortCondition ref="D2:D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P1_Delay Discounting_2025-11-01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2025-11-02T16:35:03Z</dcterms:created>
  <dcterms:modified xsi:type="dcterms:W3CDTF">2025-11-05T16:05:32Z</dcterms:modified>
</cp:coreProperties>
</file>