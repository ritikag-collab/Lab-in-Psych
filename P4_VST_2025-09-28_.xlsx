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ik\Lab in Psychology\Psychopy Experiments\Visual Search Task(new)\data\"/>
    </mc:Choice>
  </mc:AlternateContent>
  <xr:revisionPtr revIDLastSave="0" documentId="13_ncr:9_{A1CD4F80-7A05-4373-A2A3-C57D61C70FD7}" xr6:coauthVersionLast="47" xr6:coauthVersionMax="47" xr10:uidLastSave="{00000000-0000-0000-0000-000000000000}"/>
  <bookViews>
    <workbookView xWindow="-90" yWindow="0" windowWidth="9780" windowHeight="10170" activeTab="1" xr2:uid="{FBEDEAA9-FB6A-436F-8624-63CC6D24D1A6}"/>
  </bookViews>
  <sheets>
    <sheet name="P4_VST_2025-09-28_18h35.43.335" sheetId="1" r:id="rId1"/>
    <sheet name="Analysis" sheetId="2" r:id="rId2"/>
  </sheets>
  <calcPr calcId="0"/>
</workbook>
</file>

<file path=xl/calcChain.xml><?xml version="1.0" encoding="utf-8"?>
<calcChain xmlns="http://schemas.openxmlformats.org/spreadsheetml/2006/main">
  <c r="L112" i="2" l="1"/>
  <c r="L111" i="2"/>
  <c r="L109" i="2"/>
  <c r="L108" i="2"/>
  <c r="L103" i="2"/>
  <c r="L102" i="2"/>
</calcChain>
</file>

<file path=xl/sharedStrings.xml><?xml version="1.0" encoding="utf-8"?>
<sst xmlns="http://schemas.openxmlformats.org/spreadsheetml/2006/main" count="4072" uniqueCount="616">
  <si>
    <t>thisN</t>
  </si>
  <si>
    <t>thisTrialN</t>
  </si>
  <si>
    <t>thisRepN</t>
  </si>
  <si>
    <t>mouse_resp.x</t>
  </si>
  <si>
    <t>mouse_resp.y</t>
  </si>
  <si>
    <t>mouse_resp.leftButton</t>
  </si>
  <si>
    <t>mouse_resp.midButton</t>
  </si>
  <si>
    <t>mouse_resp.rightButton</t>
  </si>
  <si>
    <t>mouse_resp.time</t>
  </si>
  <si>
    <t>mouse_resp.clicked_name</t>
  </si>
  <si>
    <t>trials.thisRepN</t>
  </si>
  <si>
    <t>trials.thisTrialN</t>
  </si>
  <si>
    <t>trials.thisN</t>
  </si>
  <si>
    <t>trials.thisIndex</t>
  </si>
  <si>
    <t>thisRow.t</t>
  </si>
  <si>
    <t>notes</t>
  </si>
  <si>
    <t>Welcome_Screen.started</t>
  </si>
  <si>
    <t>text.started</t>
  </si>
  <si>
    <t>Welcome_Screen.stopped</t>
  </si>
  <si>
    <t>num_distr</t>
  </si>
  <si>
    <t>trial.started</t>
  </si>
  <si>
    <t>Fixation.started</t>
  </si>
  <si>
    <t>target.started</t>
  </si>
  <si>
    <t>mouse_resp.started</t>
  </si>
  <si>
    <t>trial.stopped</t>
  </si>
  <si>
    <t>trials.mouse_resp.x</t>
  </si>
  <si>
    <t>trials.mouse_resp.y</t>
  </si>
  <si>
    <t>trials.mouse_resp.leftButton</t>
  </si>
  <si>
    <t>trials.mouse_resp.midButton</t>
  </si>
  <si>
    <t>trials.mouse_resp.rightButton</t>
  </si>
  <si>
    <t>trials.mouse_resp.time</t>
  </si>
  <si>
    <t>trials.mouse_resp.clicked_name</t>
  </si>
  <si>
    <t>Goodbye_Screen.started</t>
  </si>
  <si>
    <t>GoodbyeScreen.started</t>
  </si>
  <si>
    <t>GoodbyeScreen.stopped</t>
  </si>
  <si>
    <t>Goodbye_Screen.stopped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</si>
  <si>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</si>
  <si>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</si>
  <si>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</si>
  <si>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</si>
  <si>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</si>
  <si>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</si>
  <si>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</si>
  <si>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</si>
  <si>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P4</t>
  </si>
  <si>
    <t>2025-09-28_18h35.43.335</t>
  </si>
  <si>
    <t>VST</t>
  </si>
  <si>
    <t>2025.1.1</t>
  </si>
  <si>
    <t>2025-09-28 18h35.56.026065 +0530</t>
  </si>
  <si>
    <t>[np.float64(-0.48333333333333334)]</t>
  </si>
  <si>
    <t>[np.float64(-0.07685185185185185)]</t>
  </si>
  <si>
    <t>[1]</t>
  </si>
  <si>
    <t>[0]</t>
  </si>
  <si>
    <t>[1.8920721000176854]</t>
  </si>
  <si>
    <t>['target']</t>
  </si>
  <si>
    <t>[np.float64(-0.3962962962962963)]</t>
  </si>
  <si>
    <t>[np.float64(0.06018518518518518)]</t>
  </si>
  <si>
    <t>[1.5475774999940768]</t>
  </si>
  <si>
    <t>[np.float64(-0.4527777777777778)]</t>
  </si>
  <si>
    <t>[np.float64(-0.009259259259259259)]</t>
  </si>
  <si>
    <t>[1.887585799995577]</t>
  </si>
  <si>
    <t>[np.float64(0.14074074074074075)]</t>
  </si>
  <si>
    <t>[np.float64(0.3416666666666667)]</t>
  </si>
  <si>
    <t>[2.413579900021432]</t>
  </si>
  <si>
    <t>[np.float64(-0.025925925925925925)]</t>
  </si>
  <si>
    <t>[np.float64(0.3453703703703704)]</t>
  </si>
  <si>
    <t>[1.5184370999922976]</t>
  </si>
  <si>
    <t>[np.float64(-0.19537037037037036)]</t>
  </si>
  <si>
    <t>[np.float64(0.2175925925925926)]</t>
  </si>
  <si>
    <t>[1.2754188000108115]</t>
  </si>
  <si>
    <t>[np.float64(-0.001851851851851852)]</t>
  </si>
  <si>
    <t>[np.float64(-0.44814814814814813)]</t>
  </si>
  <si>
    <t>[1.8979731999861542]</t>
  </si>
  <si>
    <t>[np.float64(0.12685185185185185)]</t>
  </si>
  <si>
    <t>[np.float64(0.05185185185185185)]</t>
  </si>
  <si>
    <t>[2.205547099991236]</t>
  </si>
  <si>
    <t>[np.float64(0.3861111111111111)]</t>
  </si>
  <si>
    <t>[np.float64(0.45092592592592595)]</t>
  </si>
  <si>
    <t>[2.3358197000052314]</t>
  </si>
  <si>
    <t>[np.float64(-0.2824074074074074)]</t>
  </si>
  <si>
    <t>[np.float64(0.001851851851851852)]</t>
  </si>
  <si>
    <t>[1.7894954000075813]</t>
  </si>
  <si>
    <t>[np.float64(0.22685185185185186)]</t>
  </si>
  <si>
    <t>[np.float64(-0.2037037037037037)]</t>
  </si>
  <si>
    <t>[1.7696667999844067]</t>
  </si>
  <si>
    <t>[np.float64(-0.2064814814814815)]</t>
  </si>
  <si>
    <t>[np.float64(-0.18981481481481483)]</t>
  </si>
  <si>
    <t>[1.7416482999979053]</t>
  </si>
  <si>
    <t>[np.float64(-0.026851851851851852)]</t>
  </si>
  <si>
    <t>[np.float64(-0.275)]</t>
  </si>
  <si>
    <t>[1.5260482000012416]</t>
  </si>
  <si>
    <t>[np.float64(0.13055555555555556)]</t>
  </si>
  <si>
    <t>[np.float64(-0.018518518518518517)]</t>
  </si>
  <si>
    <t>[1.5238506000023335]</t>
  </si>
  <si>
    <t>[np.float64(-0.45185185185185184)]</t>
  </si>
  <si>
    <t>[np.float64(-0.375)]</t>
  </si>
  <si>
    <t>[2.496054599992931]</t>
  </si>
  <si>
    <t>[np.float64(0.48703703703703705)]</t>
  </si>
  <si>
    <t>[np.float64(0.05555555555555555)]</t>
  </si>
  <si>
    <t>[1.9570567999908235]</t>
  </si>
  <si>
    <t>[np.float64(0.2388888888888889)]</t>
  </si>
  <si>
    <t>[np.float64(-0.37407407407407406)]</t>
  </si>
  <si>
    <t>[1.7925442999985535]</t>
  </si>
  <si>
    <t>[np.float64(-0.41759259259259257)]</t>
  </si>
  <si>
    <t>[np.float64(0.26296296296296295)]</t>
  </si>
  <si>
    <t>[1.9419025999959558]</t>
  </si>
  <si>
    <t>[np.float64(-0.011111111111111112)]</t>
  </si>
  <si>
    <t>[np.float64(0.22314814814814815)]</t>
  </si>
  <si>
    <t>[1.7026999000227079]</t>
  </si>
  <si>
    <t>[np.float64(-0.2675925925925926)]</t>
  </si>
  <si>
    <t>[np.float64(0.041666666666666664)]</t>
  </si>
  <si>
    <t>[1.354296900011832]</t>
  </si>
  <si>
    <t>[np.float64(-0.4027777777777778)]</t>
  </si>
  <si>
    <t>[np.float64(-0.11388888888888889)]</t>
  </si>
  <si>
    <t>[1.4612278999993578]</t>
  </si>
  <si>
    <t>[np.float64(-0.2388888888888889)]</t>
  </si>
  <si>
    <t>[np.float64(0.12129629629629629)]</t>
  </si>
  <si>
    <t>[1.604928699991433]</t>
  </si>
  <si>
    <t>[np.float64(-0.3685185185185185)]</t>
  </si>
  <si>
    <t>[np.float64(0.16296296296296298)]</t>
  </si>
  <si>
    <t>[1.8920546000008471]</t>
  </si>
  <si>
    <t>[np.float64(-0.46111111111111114)]</t>
  </si>
  <si>
    <t>[np.float64(0.375)]</t>
  </si>
  <si>
    <t>[1.4312141000118572]</t>
  </si>
  <si>
    <t>[np.float64(-0.3490740740740741)]</t>
  </si>
  <si>
    <t>[np.float64(-0.1175925925925926)]</t>
  </si>
  <si>
    <t>[2.0236650000151712]</t>
  </si>
  <si>
    <t>[np.float64(0.08611111111111111)]</t>
  </si>
  <si>
    <t>[np.float64(0.45)]</t>
  </si>
  <si>
    <t>[1.9563311000238173]</t>
  </si>
  <si>
    <t>[np.float64(-0.1259259259259259)]</t>
  </si>
  <si>
    <t>[np.float64(-0.12777777777777777)]</t>
  </si>
  <si>
    <t>[2.1072257999912836]</t>
  </si>
  <si>
    <t>[np.float64(-0.44074074074074077)]</t>
  </si>
  <si>
    <t>[np.float64(-0.3675925925925926)]</t>
  </si>
  <si>
    <t>[2.1926026000001]</t>
  </si>
  <si>
    <t>[np.float64(0.11666666666666667)]</t>
  </si>
  <si>
    <t>[np.float64(0.05092592592592592)]</t>
  </si>
  <si>
    <t>[2.5936687999928836]</t>
  </si>
  <si>
    <t>[np.float64(0.3824074074074074)]</t>
  </si>
  <si>
    <t>[np.float64(0.1925925925925926)]</t>
  </si>
  <si>
    <t>[2.9722869000106584]</t>
  </si>
  <si>
    <t>[np.float64(-0.10462962962962963)]</t>
  </si>
  <si>
    <t>[np.float64(0.04351851851851852)]</t>
  </si>
  <si>
    <t>[1.4430104999919422]</t>
  </si>
  <si>
    <t>[np.float64(-0.18333333333333332)]</t>
  </si>
  <si>
    <t>[np.float64(-0.017592592592592594)]</t>
  </si>
  <si>
    <t>[1.5086230000015348]</t>
  </si>
  <si>
    <t>[np.float64(0.03888888888888889)]</t>
  </si>
  <si>
    <t>[np.float64(-0.05648148148148148)]</t>
  </si>
  <si>
    <t>[2.054690999997547]</t>
  </si>
  <si>
    <t>[np.float64(-0.4703703703703704)]</t>
  </si>
  <si>
    <t>[np.float64(0.07592592592592592)]</t>
  </si>
  <si>
    <t>[2.0589274000085425]</t>
  </si>
  <si>
    <t>[np.float64(-0.15648148148148147)]</t>
  </si>
  <si>
    <t>[np.float64(-0.13518518518518519)]</t>
  </si>
  <si>
    <t>[1.520920400012983]</t>
  </si>
  <si>
    <t>[np.float64(0.24814814814814815)]</t>
  </si>
  <si>
    <t>[1.6381473000219557]</t>
  </si>
  <si>
    <t>[np.float64(0.17314814814814813)]</t>
  </si>
  <si>
    <t>[np.float64(-0.33796296296296297)]</t>
  </si>
  <si>
    <t>[2.7927378000167664]</t>
  </si>
  <si>
    <t>[np.float64(-0.17314814814814813)]</t>
  </si>
  <si>
    <t>[np.float64(0.4009259259259259)]</t>
  </si>
  <si>
    <t>[1.891166500019608]</t>
  </si>
  <si>
    <t>[np.float64(0.35648148148148145)]</t>
  </si>
  <si>
    <t>[1.843129399989266]</t>
  </si>
  <si>
    <t>[np.float64(-0.42407407407407405)]</t>
  </si>
  <si>
    <t>[np.float64(0.04537037037037037)]</t>
  </si>
  <si>
    <t>[2.3422230999858584]</t>
  </si>
  <si>
    <t>[np.float64(0.012962962962962963)]</t>
  </si>
  <si>
    <t>[np.float64(0.16203703703703703)]</t>
  </si>
  <si>
    <t>[1.8162101000198163]</t>
  </si>
  <si>
    <t>[np.float64(0.44537037037037036)]</t>
  </si>
  <si>
    <t>[np.float64(-0.4638888888888889)]</t>
  </si>
  <si>
    <t>[2.5385352000012062]</t>
  </si>
  <si>
    <t>[np.float64(0.30462962962962964)]</t>
  </si>
  <si>
    <t>[np.float64(-0.27870370370370373)]</t>
  </si>
  <si>
    <t>[2.5910246999992523]</t>
  </si>
  <si>
    <t>[np.float64(-0.07314814814814814)]</t>
  </si>
  <si>
    <t>[np.float64(-0.40370370370370373)]</t>
  </si>
  <si>
    <t>[2.4328555000247434]</t>
  </si>
  <si>
    <t>[np.float64(-0.48703703703703705)]</t>
  </si>
  <si>
    <t>[np.float64(-0.1638888888888889)]</t>
  </si>
  <si>
    <t>[1.8144466999801807]</t>
  </si>
  <si>
    <t>[np.float64(-0.4546296296296296)]</t>
  </si>
  <si>
    <t>[np.float64(-0.4166666666666667)]</t>
  </si>
  <si>
    <t>[4.097210499981884]</t>
  </si>
  <si>
    <t>[np.float64(0.21574074074074073)]</t>
  </si>
  <si>
    <t>[np.float64(-0.21851851851851853)]</t>
  </si>
  <si>
    <t>[2.02365610000561]</t>
  </si>
  <si>
    <t>[np.float64(0.3509259259259259)]</t>
  </si>
  <si>
    <t>[np.float64(0.32222222222222224)]</t>
  </si>
  <si>
    <t>[2.8663336999888998]</t>
  </si>
  <si>
    <t>[np.float64(-0.08703703703703704)]</t>
  </si>
  <si>
    <t>[1.9231339000107255]</t>
  </si>
  <si>
    <t>[np.float64(-0.31203703703703706)]</t>
  </si>
  <si>
    <t>[np.float64(0.13240740740740742)]</t>
  </si>
  <si>
    <t>[1.796087399998214]</t>
  </si>
  <si>
    <t>[np.float64(0.3148148148148148)]</t>
  </si>
  <si>
    <t>[np.float64(0.13796296296296295)]</t>
  </si>
  <si>
    <t>[1.7089878999977373]</t>
  </si>
  <si>
    <t>[np.float64(-0.1675925925925926)]</t>
  </si>
  <si>
    <t>[np.float64(0.07037037037037037)]</t>
  </si>
  <si>
    <t>[1.5882282000093255]</t>
  </si>
  <si>
    <t>[np.float64(-0.35185185185185186)]</t>
  </si>
  <si>
    <t>[np.float64(0.3768518518518518)]</t>
  </si>
  <si>
    <t>[1.7516534999886062]</t>
  </si>
  <si>
    <t>[np.float64(0.29814814814814816)]</t>
  </si>
  <si>
    <t>[1.3551364000013564]</t>
  </si>
  <si>
    <t>[np.float64(0.4703703703703704)]</t>
  </si>
  <si>
    <t>[np.float64(-0.11851851851851852)]</t>
  </si>
  <si>
    <t>[1.965851599990856]</t>
  </si>
  <si>
    <t>[np.float64(0.024074074074074074)]</t>
  </si>
  <si>
    <t>[2.4754514999804087]</t>
  </si>
  <si>
    <t>[np.float64(-0.10277777777777777)]</t>
  </si>
  <si>
    <t>[np.float64(-0.4361111111111111)]</t>
  </si>
  <si>
    <t>[1.6552117000101134]</t>
  </si>
  <si>
    <t>[np.float64(-0.29074074074074074)]</t>
  </si>
  <si>
    <t>[np.float64(-0.24537037037037038)]</t>
  </si>
  <si>
    <t>[2.714601699990453]</t>
  </si>
  <si>
    <t>[np.float64(-0.16944444444444445)]</t>
  </si>
  <si>
    <t>[2.239719100005459]</t>
  </si>
  <si>
    <t>[np.float64(0.35555555555555557)]</t>
  </si>
  <si>
    <t>[np.float64(-0.05925925925925926)]</t>
  </si>
  <si>
    <t>[1.9283067999931518]</t>
  </si>
  <si>
    <t>[np.float64(-0.26666666666666666)]</t>
  </si>
  <si>
    <t>[np.float64(-0.18425925925925926)]</t>
  </si>
  <si>
    <t>[2.101739000005182]</t>
  </si>
  <si>
    <t>[np.float64(-0.10925925925925926)]</t>
  </si>
  <si>
    <t>[1.8402148000022862]</t>
  </si>
  <si>
    <t>[np.float64(-0.28055555555555556)]</t>
  </si>
  <si>
    <t>[1.555838100000983]</t>
  </si>
  <si>
    <t>[np.float64(0.3)]</t>
  </si>
  <si>
    <t>[np.float64(0.06296296296296296)]</t>
  </si>
  <si>
    <t>[1.540108399989549]</t>
  </si>
  <si>
    <t>[np.float64(0.03796296296296296)]</t>
  </si>
  <si>
    <t>[np.float64(-0.19814814814814816)]</t>
  </si>
  <si>
    <t>[1.5985435000038706]</t>
  </si>
  <si>
    <t>[np.float64(-0.08333333333333333)]</t>
  </si>
  <si>
    <t>[1.8070785999880172]</t>
  </si>
  <si>
    <t>[np.float64(-0.14444444444444443)]</t>
  </si>
  <si>
    <t>[np.float64(-0.45555555555555555)]</t>
  </si>
  <si>
    <t>[2.28936419999809]</t>
  </si>
  <si>
    <t>[np.float64(0.03981481481481482)]</t>
  </si>
  <si>
    <t>[2.9288290000113193]</t>
  </si>
  <si>
    <t>[np.float64(0.4425925925925926)]</t>
  </si>
  <si>
    <t>[3.7958423000236508]</t>
  </si>
  <si>
    <t>[np.float64(0.4111111111111111)]</t>
  </si>
  <si>
    <t>[1.6679101999907289]</t>
  </si>
  <si>
    <t>[np.float64(-0.4666666666666667)]</t>
  </si>
  <si>
    <t>[np.float64(0.23148148148148148)]</t>
  </si>
  <si>
    <t>[1.3611936000233982]</t>
  </si>
  <si>
    <t>[np.float64(-0.3435185185185185)]</t>
  </si>
  <si>
    <t>[np.float64(0.08981481481481482)]</t>
  </si>
  <si>
    <t>[1.3529432999785058]</t>
  </si>
  <si>
    <t>[np.float64(-0.002777777777777778)]</t>
  </si>
  <si>
    <t>[1.3420530000003055]</t>
  </si>
  <si>
    <t>[np.float64(0.014814814814814815)]</t>
  </si>
  <si>
    <t>[np.float64(0.08425925925925926)]</t>
  </si>
  <si>
    <t>[1.9178138000133913]</t>
  </si>
  <si>
    <t>[np.float64(-0.1388888888888889)]</t>
  </si>
  <si>
    <t>[np.float64(0.2518518518518518)]</t>
  </si>
  <si>
    <t>[1.7815715000033379]</t>
  </si>
  <si>
    <t>[np.float64(-0.29444444444444445)]</t>
  </si>
  <si>
    <t>[np.float64(0.4675925925925926)]</t>
  </si>
  <si>
    <t>[1.535168500005966]</t>
  </si>
  <si>
    <t>[np.float64(-0.15092592592592594)]</t>
  </si>
  <si>
    <t>[2.2863729000091553]</t>
  </si>
  <si>
    <t>[np.float64(0.4287037037037037)]</t>
  </si>
  <si>
    <t>[np.float64(-0.23055555555555557)]</t>
  </si>
  <si>
    <t>[3.557188999984646]</t>
  </si>
  <si>
    <t>[np.float64(-0.07407407407407407)]</t>
  </si>
  <si>
    <t>[np.float64(-0.2)]</t>
  </si>
  <si>
    <t>[1.558862500009127]</t>
  </si>
  <si>
    <t>[np.float64(0.19722222222222222)]</t>
  </si>
  <si>
    <t>[np.float64(-0.225)]</t>
  </si>
  <si>
    <t>[1.571683199988911]</t>
  </si>
  <si>
    <t>[np.float64(-0.1037037037037037)]</t>
  </si>
  <si>
    <t>[np.float64(0.31296296296296294)]</t>
  </si>
  <si>
    <t>[1.8421415000048]</t>
  </si>
  <si>
    <t>[np.float64(0.12037037037037036)]</t>
  </si>
  <si>
    <t>[np.float64(0.22870370370370371)]</t>
  </si>
  <si>
    <t>[2.4027476999908686]</t>
  </si>
  <si>
    <t>[np.float64(0.14537037037037037)]</t>
  </si>
  <si>
    <t>[np.float64(-0.06666666666666667)]</t>
  </si>
  <si>
    <t>[1.6634733999962918]</t>
  </si>
  <si>
    <t>[np.float64(0.027777777777777776)]</t>
  </si>
  <si>
    <t>[np.float64(-0.45)]</t>
  </si>
  <si>
    <t>[3.059447400009958]</t>
  </si>
  <si>
    <t>[np.float64(-0.26296296296296295)]</t>
  </si>
  <si>
    <t>[2.4085143999836873]</t>
  </si>
  <si>
    <t>[np.float64(-0.007407407407407408)]</t>
  </si>
  <si>
    <t>[np.float64(-0.4305555555555556)]</t>
  </si>
  <si>
    <t>[2.334922500012908]</t>
  </si>
  <si>
    <t>[np.float64(0.4842592592592593)]</t>
  </si>
  <si>
    <t>[np.float64(-0.18888888888888888)]</t>
  </si>
  <si>
    <t>[1.9293760000145994]</t>
  </si>
  <si>
    <t>[np.float64(-0.31296296296296294)]</t>
  </si>
  <si>
    <t>[np.float64(-0.4759259259259259)]</t>
  </si>
  <si>
    <t>[3.4508976000070106]</t>
  </si>
  <si>
    <t>[np.float64(-0.3611111111111111)]</t>
  </si>
  <si>
    <t>[1.326861400011694]</t>
  </si>
  <si>
    <t>[np.float64(0.2324074074074074)]</t>
  </si>
  <si>
    <t>[np.float64(-0.04259259259259259)]</t>
  </si>
  <si>
    <t>[2.7235970000037923]</t>
  </si>
  <si>
    <t>[np.float64(0.4101851851851852)]</t>
  </si>
  <si>
    <t>[1.6159137999929953]</t>
  </si>
  <si>
    <t>[np.float64(0.35)]</t>
  </si>
  <si>
    <t>[np.float64(0.12777777777777777)]</t>
  </si>
  <si>
    <t>[1.8955607999814674]</t>
  </si>
  <si>
    <t>[np.float64(0.49074074074074076)]</t>
  </si>
  <si>
    <t>[np.float64(0.175)]</t>
  </si>
  <si>
    <t>[1.353575599991018]</t>
  </si>
  <si>
    <t>[1.4429184999899007]</t>
  </si>
  <si>
    <t>[np.float64(-0.47962962962962963)]</t>
  </si>
  <si>
    <t>[np.float64(0.10648148148148148)]</t>
  </si>
  <si>
    <t>[2.290430400025798]</t>
  </si>
  <si>
    <t>[np.float64(0.475)]</t>
  </si>
  <si>
    <t>[np.float64(0.4083333333333333)]</t>
  </si>
  <si>
    <t>[1.686199099989608]</t>
  </si>
  <si>
    <t>[np.float64(0.18611111111111112)]</t>
  </si>
  <si>
    <t>[np.float64(0.4685185185185185)]</t>
  </si>
  <si>
    <t>[1.558531699993182]</t>
  </si>
  <si>
    <t>[np.float64(-0.11944444444444445)]</t>
  </si>
  <si>
    <t>[np.float64(-0.1925925925925926)]</t>
  </si>
  <si>
    <t>[2.4245757999888156]</t>
  </si>
  <si>
    <t>[np.float64(-0.2638888888888889)]</t>
  </si>
  <si>
    <t>[2.1706726000120398]</t>
  </si>
  <si>
    <t>[np.float64(-0.13425925925925927)]</t>
  </si>
  <si>
    <t>[2.5279649999865796]</t>
  </si>
  <si>
    <t>[np.float64(0.12962962962962962)]</t>
  </si>
  <si>
    <t>[np.float64(-0.20833333333333334)]</t>
  </si>
  <si>
    <t>[1.6784365000203252]</t>
  </si>
  <si>
    <t>[np.float64(0.04814814814814815)]</t>
  </si>
  <si>
    <t>[np.float64(-0.3527777777777778)]</t>
  </si>
  <si>
    <t>[1.792229300015606]</t>
  </si>
  <si>
    <t>[np.float64(0.4861111111111111)]</t>
  </si>
  <si>
    <t>[2.7974457000091206]</t>
  </si>
  <si>
    <t>[np.float64(-0.23703703703703705)]</t>
  </si>
  <si>
    <t>[np.float64(-0.22592592592592592)]</t>
  </si>
  <si>
    <t>[1.8596275000018068]</t>
  </si>
  <si>
    <t>[np.float64(0.0787037037037037)]</t>
  </si>
  <si>
    <t>[np.float64(-0.3138888888888889)]</t>
  </si>
  <si>
    <t>[1.7369005999935325]</t>
  </si>
  <si>
    <t>[np.float64(-0.39444444444444443)]</t>
  </si>
  <si>
    <t>[1.8802748000016436]</t>
  </si>
  <si>
    <t>[np.float64(-0.05092592592592592)]</t>
  </si>
  <si>
    <t>[np.float64(-0.19074074074074074)]</t>
  </si>
  <si>
    <t>[1.6407368000072893]</t>
  </si>
  <si>
    <t>[np.float64(0.08148148148148149)]</t>
  </si>
  <si>
    <t>[np.float64(-0.20925925925925926)]</t>
  </si>
  <si>
    <t>[2.039942900009919]</t>
  </si>
  <si>
    <t>[np.float64(-0.2175925925925926)]</t>
  </si>
  <si>
    <t>[np.float64(0.48333333333333334)]</t>
  </si>
  <si>
    <t>[3.667000999994343]</t>
  </si>
  <si>
    <t>[np.float64(-0.03796296296296296)]</t>
  </si>
  <si>
    <t>[np.float64(0.05925925925925926)]</t>
  </si>
  <si>
    <t>[1.7374162999913096]</t>
  </si>
  <si>
    <t>[np.float64(-0.4601851851851852)]</t>
  </si>
  <si>
    <t>[2.4612652999931015]</t>
  </si>
  <si>
    <t>[np.float64(0.2064814814814815)]</t>
  </si>
  <si>
    <t>[np.float64(0.29074074074074074)]</t>
  </si>
  <si>
    <t>[1.9131540000089444]</t>
  </si>
  <si>
    <t>[np.float64(-0.05462962962962963)]</t>
  </si>
  <si>
    <t>[np.float64(-0.36944444444444446)]</t>
  </si>
  <si>
    <t>[1.6165272000071127]</t>
  </si>
  <si>
    <t>[np.float64(-0.35833333333333334)]</t>
  </si>
  <si>
    <t>[np.float64(0.4027777777777778)]</t>
  </si>
  <si>
    <t>[1.9064579000114463]</t>
  </si>
  <si>
    <t>[np.float64(0.325)]</t>
  </si>
  <si>
    <t>[1.682177100010449]</t>
  </si>
  <si>
    <t>[1.3179250999819487]</t>
  </si>
  <si>
    <t>[np.float64(-0.287962962962963)]</t>
  </si>
  <si>
    <t>[np.float64(0.1712962962962963)]</t>
  </si>
  <si>
    <t>[1.4259523999935482]</t>
  </si>
  <si>
    <t>[np.float64(0.462037037037037)]</t>
  </si>
  <si>
    <t>[1.706871600006707]</t>
  </si>
  <si>
    <t>[np.float64(0.0712962962962963)]</t>
  </si>
  <si>
    <t>[np.float64(-0.24722222222222223)]</t>
  </si>
  <si>
    <t>[1.7601091999968048]</t>
  </si>
  <si>
    <t>[np.float64(0.017592592592592594)]</t>
  </si>
  <si>
    <t>[1.4368734000017866]</t>
  </si>
  <si>
    <t>[np.float64(0.4740740740740741)]</t>
  </si>
  <si>
    <t>[np.float64(0.1685185185185185)]</t>
  </si>
  <si>
    <t>[1.9451140000019222]</t>
  </si>
  <si>
    <t>[np.float64(-0.2861111111111111)]</t>
  </si>
  <si>
    <t>[np.float64(0.1935185185185185)]</t>
  </si>
  <si>
    <t>[2.285522199992556]</t>
  </si>
  <si>
    <t>[np.float64(-0.3351851851851852)]</t>
  </si>
  <si>
    <t>[np.float64(-0.03888888888888889)]</t>
  </si>
  <si>
    <t>[2.419031700002961]</t>
  </si>
  <si>
    <t>[np.float64(0.03425925925925926)]</t>
  </si>
  <si>
    <t>[np.float64(-0.4046296296296296)]</t>
  </si>
  <si>
    <t>[4.036814599996433]</t>
  </si>
  <si>
    <t>[np.float64(0.42777777777777776)]</t>
  </si>
  <si>
    <t>[4.388382500008447]</t>
  </si>
  <si>
    <t>[np.float64(0.09351851851851851)]</t>
  </si>
  <si>
    <t>[np.float64(-0.462037037037037)]</t>
  </si>
  <si>
    <t>[2.2360825999930967]</t>
  </si>
  <si>
    <t>[np.float64(-0.42962962962962964)]</t>
  </si>
  <si>
    <t>[np.float64(0.1648148148148148)]</t>
  </si>
  <si>
    <t>[1.7237770000065211]</t>
  </si>
  <si>
    <t>[np.float64(0.31203703703703706)]</t>
  </si>
  <si>
    <t>[np.float64(0.0824074074074074)]</t>
  </si>
  <si>
    <t>[1.8405645999882836]</t>
  </si>
  <si>
    <t>[np.float64(0.48518518518518516)]</t>
  </si>
  <si>
    <t>[np.float64(-0.4898148148148148)]</t>
  </si>
  <si>
    <t>[3.940451199974632]</t>
  </si>
  <si>
    <t>[np.float64(-0.45740740740740743)]</t>
  </si>
  <si>
    <t>[np.float64(0.34074074074074073)]</t>
  </si>
  <si>
    <t>[2.0953698999946937]</t>
  </si>
  <si>
    <t>[np.float64(0.1259259259259259)]</t>
  </si>
  <si>
    <t>[2.390271800017217]</t>
  </si>
  <si>
    <t>[np.float64(0.42314814814814816)]</t>
  </si>
  <si>
    <t>[1.5931056999834254]</t>
  </si>
  <si>
    <t>[np.float64(0.4888888888888889)]</t>
  </si>
  <si>
    <t>[np.float64(-0.2564814814814815)]</t>
  </si>
  <si>
    <t>[3.0387145999993663]</t>
  </si>
  <si>
    <t>[np.float64(-0.35648148148148145)]</t>
  </si>
  <si>
    <t>[np.float64(-0.16296296296296298)]</t>
  </si>
  <si>
    <t>[1.6935166000039317]</t>
  </si>
  <si>
    <t>[np.float64(-0.08425925925925926)]</t>
  </si>
  <si>
    <t>[np.float64(0.4046296296296296)]</t>
  </si>
  <si>
    <t>[2.339650299982168]</t>
  </si>
  <si>
    <t>[np.float64(-0.10555555555555556)]</t>
  </si>
  <si>
    <t>[1.7547623999998905]</t>
  </si>
  <si>
    <t>[np.float64(0.3074074074074074)]</t>
  </si>
  <si>
    <t>[np.float64(-0.387037037037037)]</t>
  </si>
  <si>
    <t>[2.3742707000055816]</t>
  </si>
  <si>
    <t>[np.float64(0.12314814814814815)]</t>
  </si>
  <si>
    <t>[np.float64(-0.4185185185185185)]</t>
  </si>
  <si>
    <t>[1.9065794000052847]</t>
  </si>
  <si>
    <t>[np.float64(-0.2953703703703704)]</t>
  </si>
  <si>
    <t>[np.float64(0.4638888888888889)]</t>
  </si>
  <si>
    <t>[3.001756999990903]</t>
  </si>
  <si>
    <t>[np.float64(0.39444444444444443)]</t>
  </si>
  <si>
    <t>[2.2626436999998987]</t>
  </si>
  <si>
    <t>[np.float64(0.23703703703703705)]</t>
  </si>
  <si>
    <t>[1.4454676000168547]</t>
  </si>
  <si>
    <t>[np.float64(-0.37592592592592594)]</t>
  </si>
  <si>
    <t>[np.float64(-0.3972222222222222)]</t>
  </si>
  <si>
    <t>[1.4023729999898933]</t>
  </si>
  <si>
    <t>[np.float64(0.08703703703703704)]</t>
  </si>
  <si>
    <t>[np.float64(0.025925925925925925)]</t>
  </si>
  <si>
    <t>[1.7795998000074178]</t>
  </si>
  <si>
    <t>[np.float64(-0.03333333333333333)]</t>
  </si>
  <si>
    <t>[np.float64(0.35185185185185186)]</t>
  </si>
  <si>
    <t>[1.9426541000138968]</t>
  </si>
  <si>
    <t>[np.float64(-0.06296296296296296)]</t>
  </si>
  <si>
    <t>[np.float64(-0.024074074074074074)]</t>
  </si>
  <si>
    <t>[1.5555491999839433]</t>
  </si>
  <si>
    <t>[np.float64(0.35462962962962963)]</t>
  </si>
  <si>
    <t>[np.float64(0.44166666666666665)]</t>
  </si>
  <si>
    <t>[2.0120475000003353]</t>
  </si>
  <si>
    <t>[np.float64(-0.1712962962962963)]</t>
  </si>
  <si>
    <t>[np.float64(-0.3194444444444444)]</t>
  </si>
  <si>
    <t>[1.5160618999798317]</t>
  </si>
  <si>
    <t>[np.float64(-0.05)]</t>
  </si>
  <si>
    <t>[np.float64(0.41759259259259257)]</t>
  </si>
  <si>
    <t>[1.5804316999856383]</t>
  </si>
  <si>
    <t>[np.float64(-0.3638888888888889)]</t>
  </si>
  <si>
    <t>[np.float64(-0.1685185185185185)]</t>
  </si>
  <si>
    <t>[2.0370906999742147]</t>
  </si>
  <si>
    <t>[np.float64(-0.013888888888888888)]</t>
  </si>
  <si>
    <t>[np.float64(0.20555555555555555)]</t>
  </si>
  <si>
    <t>[1.4339594999910332]</t>
  </si>
  <si>
    <t>[np.float64(0.31851851851851853)]</t>
  </si>
  <si>
    <t>[np.float64(0.23333333333333334)]</t>
  </si>
  <si>
    <t>[2.1026189000112936]</t>
  </si>
  <si>
    <t>[np.float64(0.16574074074074074)]</t>
  </si>
  <si>
    <t>[2.5078385999950115]</t>
  </si>
  <si>
    <t>[np.float64(0.3351851851851852), np.float64(0.32592592592592595)]</t>
  </si>
  <si>
    <t>[np.float64(-0.21666666666666667), np.float64(-0.19074074074074074)]</t>
  </si>
  <si>
    <t>[1, 1]</t>
  </si>
  <si>
    <t>[0, 0]</t>
  </si>
  <si>
    <t>[1.1616945999849122, 2.1788950999907684]</t>
  </si>
  <si>
    <t>[None, 'target']</t>
  </si>
  <si>
    <t>[np.float64(0.08055555555555556), np.float64(0.08703703703703704)]</t>
  </si>
  <si>
    <t>[np.float64(0.43148148148148147), np.float64(0.44907407407407407)]</t>
  </si>
  <si>
    <t>[1.9809535999957006, 3.2139928999822587]</t>
  </si>
  <si>
    <t>[np.float64(-0.14351851851851852)]</t>
  </si>
  <si>
    <t>[np.float64(0.5)]</t>
  </si>
  <si>
    <t>[3.211130499985302]</t>
  </si>
  <si>
    <t>[np.float64(-0.28703703703703703)]</t>
  </si>
  <si>
    <t>[np.float64(-0.08148148148148149)]</t>
  </si>
  <si>
    <t>[1.2876168999937363]</t>
  </si>
  <si>
    <t>[np.float64(0.39537037037037037)]</t>
  </si>
  <si>
    <t>[2.8360442999983206]</t>
  </si>
  <si>
    <t>[np.float64(0.058333333333333334)]</t>
  </si>
  <si>
    <t>[np.float64(0.3388888888888889)]</t>
  </si>
  <si>
    <t>[1.8504140000150073]</t>
  </si>
  <si>
    <t>[np.float64(0.062037037037037036), np.float64(-0.17592592592592593)]</t>
  </si>
  <si>
    <t>[np.float64(0.32592592592592595), np.float64(-0.17407407407407408)]</t>
  </si>
  <si>
    <t>[0.8489442999998573, 2.2459565000026487]</t>
  </si>
  <si>
    <t>[np.float64(0.27685185185185185)]</t>
  </si>
  <si>
    <t>[np.float64(-0.40555555555555556)]</t>
  </si>
  <si>
    <t>[1.934332100005122]</t>
  </si>
  <si>
    <t>[np.float64(0.21481481481481482)]</t>
  </si>
  <si>
    <t>[np.float64(0.2953703703703704)]</t>
  </si>
  <si>
    <t>[1.787088400014909]</t>
  </si>
  <si>
    <t>[np.float64(0.18333333333333332)]</t>
  </si>
  <si>
    <t>[1.9703944999782834]</t>
  </si>
  <si>
    <t>[np.float64(0.487962962962963)]</t>
  </si>
  <si>
    <t>[np.float64(-0.3055555555555556)]</t>
  </si>
  <si>
    <t>[1.987115600000834]</t>
  </si>
  <si>
    <t>[np.float64(-0.30925925925925923)]</t>
  </si>
  <si>
    <t>[np.float64(0.3490740740740741)]</t>
  </si>
  <si>
    <t>[1.86976629999117]</t>
  </si>
  <si>
    <t>[np.float64(0.36944444444444446)]</t>
  </si>
  <si>
    <t>[np.float64(0.05740740740740741)]</t>
  </si>
  <si>
    <t>[1.487875199993141]</t>
  </si>
  <si>
    <t>[np.float64(-0.35462962962962963)]</t>
  </si>
  <si>
    <t>[1.5097192999965046]</t>
  </si>
  <si>
    <t>[np.float64(0.07222222222222222)]</t>
  </si>
  <si>
    <t>[1.6866625999973621]</t>
  </si>
  <si>
    <t>[np.float64(-0.1537037037037037)]</t>
  </si>
  <si>
    <t>[np.float64(0.28425925925925927)]</t>
  </si>
  <si>
    <t>[2.3960195000108797]</t>
  </si>
  <si>
    <t>[np.float64(-0.49722222222222223)]</t>
  </si>
  <si>
    <t>[np.float64(0.030555555555555555)]</t>
  </si>
  <si>
    <t>[2.1214257999963593]</t>
  </si>
  <si>
    <t>[np.float64(-0.22962962962962963)]</t>
  </si>
  <si>
    <t>[np.float64(-0.3287037037037037)]</t>
  </si>
  <si>
    <t>[2.1041998000000603]</t>
  </si>
  <si>
    <t>[np.float64(0.46111111111111114)]</t>
  </si>
  <si>
    <t>[np.float64(0.25)]</t>
  </si>
  <si>
    <t>[1.8358421999728307]</t>
  </si>
  <si>
    <t>[np.float64(0.11851851851851852)]</t>
  </si>
  <si>
    <t>[2.0556361000053585]</t>
  </si>
  <si>
    <t>[np.float64(-0.3277777777777778)]</t>
  </si>
  <si>
    <t>[np.float64(-0.0787037037037037)]</t>
  </si>
  <si>
    <t>[1.5929627000004984]</t>
  </si>
  <si>
    <t>[np.float64(0.021296296296296296)]</t>
  </si>
  <si>
    <t>[1.2698707999952603]</t>
  </si>
  <si>
    <t>[np.float64(0.013888888888888888)]</t>
  </si>
  <si>
    <t>[np.float64(-0.3925925925925926)]</t>
  </si>
  <si>
    <t>[2.1228621999907773]</t>
  </si>
  <si>
    <t>[np.float64(-0.15833333333333333)]</t>
  </si>
  <si>
    <t>[1.6231388000014704]</t>
  </si>
  <si>
    <t>[np.float64(-0.1962962962962963)]</t>
  </si>
  <si>
    <t>[2.039271700021345]</t>
  </si>
  <si>
    <t>[np.float64(-0.43796296296296294)]</t>
  </si>
  <si>
    <t>[np.float64(0.47129629629629627)]</t>
  </si>
  <si>
    <t>[3.4601040999987163]</t>
  </si>
  <si>
    <t>[np.float64(0.412962962962963)]</t>
  </si>
  <si>
    <t>[1.4002878000028431]</t>
  </si>
  <si>
    <t>[np.float64(-0.12314814814814815)]</t>
  </si>
  <si>
    <t>[np.float64(0.2490740740740741)]</t>
  </si>
  <si>
    <t>[1.330116099998122]</t>
  </si>
  <si>
    <t>[np.float64(-0.41388888888888886)]</t>
  </si>
  <si>
    <t>[np.float64(-0.34629629629629627)]</t>
  </si>
  <si>
    <t>[1.7039625000033993]</t>
  </si>
  <si>
    <t>[np.float64(-0.23333333333333334)]</t>
  </si>
  <si>
    <t>[2.0475361999997403]</t>
  </si>
  <si>
    <t>[np.float64(0.4222222222222222)]</t>
  </si>
  <si>
    <t>[np.float64(-0.4842592592592593)]</t>
  </si>
  <si>
    <t>[2.753884499979904]</t>
  </si>
  <si>
    <t>[np.float64(0.05277777777777778)]</t>
  </si>
  <si>
    <t>[np.float64(0.1537037037037037)]</t>
  </si>
  <si>
    <t>[1.4407153000065591]</t>
  </si>
  <si>
    <t>[np.float64(0.287962962962963)]</t>
  </si>
  <si>
    <t>[1.6095722999889404]</t>
  </si>
  <si>
    <t>[np.float64(-0.18611111111111112)]</t>
  </si>
  <si>
    <t>[np.float64(-0.41944444444444445)]</t>
  </si>
  <si>
    <t>[1.4562809999915771]</t>
  </si>
  <si>
    <t>[np.float64(-0.325)]</t>
  </si>
  <si>
    <t>[2.3502141000062693]</t>
  </si>
  <si>
    <t>[np.float64(0.009259259259259259)]</t>
  </si>
  <si>
    <t>[np.float64(0.30833333333333335)]</t>
  </si>
  <si>
    <t>[1.5412261000019498]</t>
  </si>
  <si>
    <t>[np.float64(0.45555555555555555)]</t>
  </si>
  <si>
    <t>[np.float64(-0.037037037037037035)]</t>
  </si>
  <si>
    <t>[3.0726069000083953]</t>
  </si>
  <si>
    <t>[np.float64(0.14722222222222223)]</t>
  </si>
  <si>
    <t>[np.float64(-0.24166666666666667)]</t>
  </si>
  <si>
    <t>[1.5615038000105415]</t>
  </si>
  <si>
    <t>[np.float64(0.09907407407407408)]</t>
  </si>
  <si>
    <t>[np.float64(0.40925925925925927)]</t>
  </si>
  <si>
    <t>[3.3225055999937467]</t>
  </si>
  <si>
    <t>[np.float64(0.3111111111111111)]</t>
  </si>
  <si>
    <t>[np.float64(0.10833333333333334)]</t>
  </si>
  <si>
    <t>[2.215761900006328]</t>
  </si>
  <si>
    <t>[np.float64(-0.3648148148148148)]</t>
  </si>
  <si>
    <t>[1.6081889999913983]</t>
  </si>
  <si>
    <t>[np.float64(-0.43148148148148147)]</t>
  </si>
  <si>
    <t>[np.float64(0.4388888888888889)]</t>
  </si>
  <si>
    <t>[2.2578218999842647]</t>
  </si>
  <si>
    <t>[np.float64(-0.2796296296296296)]</t>
  </si>
  <si>
    <t>[2.122044299991103]</t>
  </si>
  <si>
    <t>[np.float64(-0.4685185185185185)]</t>
  </si>
  <si>
    <t>[1.6579427999968175]</t>
  </si>
  <si>
    <t>[np.float64(0.41388888888888886)]</t>
  </si>
  <si>
    <t>[np.float64(0.09259259259259259)]</t>
  </si>
  <si>
    <t>[1.5379015000071377]</t>
  </si>
  <si>
    <t>[np.float64(-0.058333333333333334)]</t>
  </si>
  <si>
    <t>[np.float64(0.06851851851851852)]</t>
  </si>
  <si>
    <t>[1.6588792000256944]</t>
  </si>
  <si>
    <t>[np.float64(-0.14537037037037037)]</t>
  </si>
  <si>
    <t>[np.float64(-0.4074074074074074)]</t>
  </si>
  <si>
    <t>[1.709869800019078]</t>
  </si>
  <si>
    <t>[np.float64(-0.21481481481481482)]</t>
  </si>
  <si>
    <t>[np.float64(-0.04351851851851852)]</t>
  </si>
  <si>
    <t>[1.3265137000125833]</t>
  </si>
  <si>
    <t xml:space="preserve"> 1.1616945999849122, 2.1788950999907684  </t>
  </si>
  <si>
    <t xml:space="preserve"> 1.9809535999957006, 3.2139928999822587  </t>
  </si>
  <si>
    <t xml:space="preserve"> 0.8489442999998573, 2.2459565000026487  </t>
  </si>
  <si>
    <t>Mean RT - 5</t>
  </si>
  <si>
    <t>Mean RT - 10</t>
  </si>
  <si>
    <t>Slope=</t>
  </si>
  <si>
    <t>Y(2)-Y(1)/X(2)-X(1)</t>
  </si>
  <si>
    <t>Y2-Y1</t>
  </si>
  <si>
    <t>X2-X1</t>
  </si>
  <si>
    <t xml:space="preserve">Slope = </t>
  </si>
  <si>
    <t>s/item</t>
  </si>
  <si>
    <t>ms/item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</si>
</sst>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Mean</a:t>
            </a:r>
            <a:r>
              <a:rPr lang="en-IN" baseline="0"/>
              <a:t> Reaction Time by Set Size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Analysis!$K$102:$K$103</c:f>
              <c:strCache>
                <c:ptCount val="2"/>
                <c:pt idx="0">
                  <c:v>Mean RT - 5</c:v>
                </c:pt>
                <c:pt idx="1">
                  <c:v>Mean RT - 10</c:v>
                </c:pt>
              </c:strCache>
            </c:strRef>
          </c:cat>
          <c:val>
            <c:numRef>
              <c:f>Analysis!$L$102:$L$103</c:f>
              <c:numCache>
                <c:formatCode>General</c:formatCode>
                <c:ptCount val="2"/>
                <c:pt idx="0">
                  <c:v>1.937310413000811</c:v>
                </c:pt>
                <c:pt idx="1">
                  <c:v>2.0960054567006279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D6-404E-BC1E-66145C88A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3447375"/>
        <c:axId val="773444015"/>
      </c:lineChart>
      <c:catAx>
        <c:axId val="7734473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</a:t>
                </a:r>
                <a:r>
                  <a:rPr lang="en-IN" baseline="0"/>
                  <a:t> Size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444015"/>
        <c:crosses val="autoZero"/>
        <c:auto val="1"/>
        <c:lblAlgn val="ctr"/>
        <c:lblOffset val="100"/>
        <c:noMultiLvlLbl val="0"/>
      </c:catAx>
      <c:valAx>
        <c:axId val="77344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44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Reaction Time by Set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Analysis!$K$102:$K$103</c:f>
              <c:strCache>
                <c:ptCount val="2"/>
                <c:pt idx="0">
                  <c:v>Mean RT - 5</c:v>
                </c:pt>
                <c:pt idx="1">
                  <c:v>Mean RT - 10</c:v>
                </c:pt>
              </c:strCache>
            </c:strRef>
          </c:cat>
          <c:val>
            <c:numRef>
              <c:f>Analysis!$L$102:$L$103</c:f>
              <c:numCache>
                <c:formatCode>General</c:formatCode>
                <c:ptCount val="2"/>
                <c:pt idx="0">
                  <c:v>1.937310413000811</c:v>
                </c:pt>
                <c:pt idx="1">
                  <c:v>2.0960054567006279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BD-4C2B-A3DF-ECE75D4A0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7066367"/>
        <c:axId val="667065407"/>
      </c:barChart>
      <c:catAx>
        <c:axId val="667066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</a:t>
                </a:r>
                <a:r>
                  <a:rPr lang="en-IN" baseline="0"/>
                  <a:t> Size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065407"/>
        <c:crosses val="autoZero"/>
        <c:auto val="1"/>
        <c:lblAlgn val="ctr"/>
        <c:lblOffset val="100"/>
        <c:noMultiLvlLbl val="0"/>
      </c:catAx>
      <c:valAx>
        <c:axId val="66706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066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61232</xdr:colOff>
      <xdr:row>95</xdr:row>
      <xdr:rowOff>32153</xdr:rowOff>
    </xdr:from>
    <xdr:to>
      <xdr:col>21</xdr:col>
      <xdr:colOff>372482</xdr:colOff>
      <xdr:row>110</xdr:row>
      <xdr:rowOff>13103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4444CF-ECC1-1EDB-586F-EFD53596E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158246</xdr:colOff>
      <xdr:row>112</xdr:row>
      <xdr:rowOff>150384</xdr:rowOff>
    </xdr:from>
    <xdr:to>
      <xdr:col>21</xdr:col>
      <xdr:colOff>496912</xdr:colOff>
      <xdr:row>127</xdr:row>
      <xdr:rowOff>172155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CAB96E-1E2A-9788-D486-25BB7F2BA2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6778C-4F39-4948-9855-DA58CB47010B}">
  <dimension ref="A1:AR203"/>
  <sheetViews>
    <sheetView topLeftCell="I1" workbookViewId="0">
      <selection activeCell="T1" activeCellId="2" sqref="I1:I1048576 J1:J1048576 T1:T1048576"/>
    </sheetView>
  </sheetViews>
  <sheetFormatPr defaultRowHeight="14.5" x14ac:dyDescent="0.35"/>
  <cols>
    <col min="7" max="7" width="9.7265625" customWidth="1"/>
    <col min="9" max="9" width="38.54296875" bestFit="1" customWidth="1"/>
    <col min="20" max="20" width="8.81640625" bestFit="1" customWidth="1"/>
    <col min="24" max="24" width="17.1796875" bestFit="1" customWidth="1"/>
    <col min="31" max="31" width="38.54296875" bestFit="1" customWidth="1"/>
  </cols>
  <sheetData>
    <row r="1" spans="1: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5">
      <c r="Q2">
        <v>3.7283000128809302E-3</v>
      </c>
      <c r="R2">
        <v>1.0007300006691301E-2</v>
      </c>
      <c r="S2">
        <v>5.0047931000008203</v>
      </c>
      <c r="AK2" t="s">
        <v>44</v>
      </c>
      <c r="AL2">
        <v>1</v>
      </c>
      <c r="AM2" t="s">
        <v>45</v>
      </c>
      <c r="AN2" t="s">
        <v>46</v>
      </c>
      <c r="AP2" t="s">
        <v>47</v>
      </c>
      <c r="AQ2">
        <v>60.044012257098402</v>
      </c>
      <c r="AR2" t="s">
        <v>48</v>
      </c>
    </row>
    <row r="3" spans="1:44" x14ac:dyDescent="0.35">
      <c r="A3">
        <v>0</v>
      </c>
      <c r="B3">
        <v>0</v>
      </c>
      <c r="C3">
        <v>0</v>
      </c>
      <c r="D3" t="s">
        <v>49</v>
      </c>
      <c r="E3" t="s">
        <v>50</v>
      </c>
      <c r="F3" t="s">
        <v>51</v>
      </c>
      <c r="G3" t="s">
        <v>52</v>
      </c>
      <c r="H3" t="s">
        <v>52</v>
      </c>
      <c r="I3">
        <v>1.8920721000176799</v>
      </c>
      <c r="J3" t="s">
        <v>54</v>
      </c>
      <c r="K3">
        <v>0</v>
      </c>
      <c r="L3">
        <v>0</v>
      </c>
      <c r="M3">
        <v>0</v>
      </c>
      <c r="N3">
        <v>0</v>
      </c>
      <c r="O3">
        <v>5.0662784000160102</v>
      </c>
      <c r="T3">
        <v>5</v>
      </c>
      <c r="U3">
        <v>5.0539073999971098</v>
      </c>
      <c r="V3">
        <v>5.0662784000160102</v>
      </c>
      <c r="W3">
        <v>5.0662784000160102</v>
      </c>
      <c r="X3">
        <v>5.3937999997287898E-2</v>
      </c>
      <c r="Y3">
        <v>6.9460963000019502</v>
      </c>
      <c r="Z3" t="s">
        <v>49</v>
      </c>
      <c r="AA3" t="s">
        <v>50</v>
      </c>
      <c r="AB3" t="s">
        <v>51</v>
      </c>
      <c r="AC3" t="s">
        <v>52</v>
      </c>
      <c r="AD3" t="s">
        <v>52</v>
      </c>
      <c r="AE3" t="s">
        <v>53</v>
      </c>
      <c r="AF3" t="s">
        <v>54</v>
      </c>
      <c r="AK3" t="s">
        <v>44</v>
      </c>
      <c r="AL3">
        <v>1</v>
      </c>
      <c r="AM3" t="s">
        <v>45</v>
      </c>
      <c r="AN3" t="s">
        <v>46</v>
      </c>
      <c r="AP3" t="s">
        <v>47</v>
      </c>
      <c r="AQ3">
        <v>60.044012257098402</v>
      </c>
      <c r="AR3" t="s">
        <v>48</v>
      </c>
    </row>
    <row r="4" spans="1:44" x14ac:dyDescent="0.35">
      <c r="A4">
        <v>1</v>
      </c>
      <c r="B4">
        <v>0</v>
      </c>
      <c r="C4">
        <v>1</v>
      </c>
      <c r="D4" t="s">
        <v>55</v>
      </c>
      <c r="E4" t="s">
        <v>56</v>
      </c>
      <c r="F4" t="s">
        <v>51</v>
      </c>
      <c r="G4" t="s">
        <v>52</v>
      </c>
      <c r="H4" t="s">
        <v>52</v>
      </c>
      <c r="I4">
        <v>1.5475774999940699</v>
      </c>
      <c r="J4" t="s">
        <v>54</v>
      </c>
      <c r="K4">
        <v>1</v>
      </c>
      <c r="L4">
        <v>0</v>
      </c>
      <c r="M4">
        <v>1</v>
      </c>
      <c r="N4">
        <v>0</v>
      </c>
      <c r="O4">
        <v>7.0125276999897297</v>
      </c>
      <c r="T4">
        <v>10</v>
      </c>
      <c r="U4">
        <v>6.9928347000095501</v>
      </c>
      <c r="V4">
        <v>7.0125276999897297</v>
      </c>
      <c r="W4">
        <v>7.0125276999897297</v>
      </c>
      <c r="X4">
        <v>4.6528799983207102E-2</v>
      </c>
      <c r="Y4">
        <v>8.5405686000012793</v>
      </c>
      <c r="Z4" t="s">
        <v>55</v>
      </c>
      <c r="AA4" t="s">
        <v>56</v>
      </c>
      <c r="AB4" t="s">
        <v>51</v>
      </c>
      <c r="AC4" t="s">
        <v>52</v>
      </c>
      <c r="AD4" t="s">
        <v>52</v>
      </c>
      <c r="AE4" t="s">
        <v>57</v>
      </c>
      <c r="AF4" t="s">
        <v>54</v>
      </c>
      <c r="AK4" t="s">
        <v>44</v>
      </c>
      <c r="AL4">
        <v>1</v>
      </c>
      <c r="AM4" t="s">
        <v>45</v>
      </c>
      <c r="AN4" t="s">
        <v>46</v>
      </c>
      <c r="AP4" t="s">
        <v>47</v>
      </c>
      <c r="AQ4">
        <v>60.044012257098402</v>
      </c>
      <c r="AR4" t="s">
        <v>48</v>
      </c>
    </row>
    <row r="5" spans="1:44" x14ac:dyDescent="0.35">
      <c r="A5">
        <v>2</v>
      </c>
      <c r="B5">
        <v>0</v>
      </c>
      <c r="C5">
        <v>2</v>
      </c>
      <c r="D5" t="s">
        <v>58</v>
      </c>
      <c r="E5" t="s">
        <v>59</v>
      </c>
      <c r="F5" t="s">
        <v>51</v>
      </c>
      <c r="G5" t="s">
        <v>52</v>
      </c>
      <c r="H5" t="s">
        <v>52</v>
      </c>
      <c r="I5">
        <v>1.8875857999955701</v>
      </c>
      <c r="J5" t="s">
        <v>54</v>
      </c>
      <c r="K5">
        <v>2</v>
      </c>
      <c r="L5">
        <v>0</v>
      </c>
      <c r="M5">
        <v>2</v>
      </c>
      <c r="N5">
        <v>0</v>
      </c>
      <c r="O5">
        <v>8.5803161000076198</v>
      </c>
      <c r="T5">
        <v>5</v>
      </c>
      <c r="U5">
        <v>8.5693919000041205</v>
      </c>
      <c r="V5">
        <v>8.5803161000076198</v>
      </c>
      <c r="W5">
        <v>8.5803161000076198</v>
      </c>
      <c r="X5">
        <v>2.84317999903578E-2</v>
      </c>
      <c r="Y5">
        <v>10.457143600011401</v>
      </c>
      <c r="Z5" t="s">
        <v>58</v>
      </c>
      <c r="AA5" t="s">
        <v>59</v>
      </c>
      <c r="AB5" t="s">
        <v>51</v>
      </c>
      <c r="AC5" t="s">
        <v>52</v>
      </c>
      <c r="AD5" t="s">
        <v>52</v>
      </c>
      <c r="AE5" t="s">
        <v>60</v>
      </c>
      <c r="AF5" t="s">
        <v>54</v>
      </c>
      <c r="AK5" t="s">
        <v>44</v>
      </c>
      <c r="AL5">
        <v>1</v>
      </c>
      <c r="AM5" t="s">
        <v>45</v>
      </c>
      <c r="AN5" t="s">
        <v>46</v>
      </c>
      <c r="AP5" t="s">
        <v>47</v>
      </c>
      <c r="AQ5">
        <v>60.044012257098402</v>
      </c>
      <c r="AR5" t="s">
        <v>48</v>
      </c>
    </row>
    <row r="6" spans="1:44" x14ac:dyDescent="0.35">
      <c r="A6">
        <v>3</v>
      </c>
      <c r="B6">
        <v>0</v>
      </c>
      <c r="C6">
        <v>3</v>
      </c>
      <c r="D6" t="s">
        <v>61</v>
      </c>
      <c r="E6" t="s">
        <v>62</v>
      </c>
      <c r="F6" t="s">
        <v>51</v>
      </c>
      <c r="G6" t="s">
        <v>52</v>
      </c>
      <c r="H6" t="s">
        <v>52</v>
      </c>
      <c r="I6">
        <v>2.4135799000214302</v>
      </c>
      <c r="J6" t="s">
        <v>54</v>
      </c>
      <c r="K6">
        <v>3</v>
      </c>
      <c r="L6">
        <v>0</v>
      </c>
      <c r="M6">
        <v>3</v>
      </c>
      <c r="N6">
        <v>0</v>
      </c>
      <c r="O6">
        <v>10.526282200007699</v>
      </c>
      <c r="T6">
        <v>10</v>
      </c>
      <c r="U6">
        <v>10.5085063000151</v>
      </c>
      <c r="V6">
        <v>10.526282200007699</v>
      </c>
      <c r="W6">
        <v>10.526282200007699</v>
      </c>
      <c r="X6">
        <v>5.10376000020187E-2</v>
      </c>
      <c r="Y6">
        <v>12.9222236000059</v>
      </c>
      <c r="Z6" t="s">
        <v>61</v>
      </c>
      <c r="AA6" t="s">
        <v>62</v>
      </c>
      <c r="AB6" t="s">
        <v>51</v>
      </c>
      <c r="AC6" t="s">
        <v>52</v>
      </c>
      <c r="AD6" t="s">
        <v>52</v>
      </c>
      <c r="AE6" t="s">
        <v>63</v>
      </c>
      <c r="AF6" t="s">
        <v>54</v>
      </c>
      <c r="AK6" t="s">
        <v>44</v>
      </c>
      <c r="AL6">
        <v>1</v>
      </c>
      <c r="AM6" t="s">
        <v>45</v>
      </c>
      <c r="AN6" t="s">
        <v>46</v>
      </c>
      <c r="AP6" t="s">
        <v>47</v>
      </c>
      <c r="AQ6">
        <v>60.044012257098402</v>
      </c>
      <c r="AR6" t="s">
        <v>48</v>
      </c>
    </row>
    <row r="7" spans="1:44" x14ac:dyDescent="0.35">
      <c r="A7">
        <v>4</v>
      </c>
      <c r="B7">
        <v>0</v>
      </c>
      <c r="C7">
        <v>4</v>
      </c>
      <c r="D7" t="s">
        <v>64</v>
      </c>
      <c r="E7" t="s">
        <v>65</v>
      </c>
      <c r="F7" t="s">
        <v>51</v>
      </c>
      <c r="G7" t="s">
        <v>52</v>
      </c>
      <c r="H7" t="s">
        <v>52</v>
      </c>
      <c r="I7">
        <v>1.51843709999229</v>
      </c>
      <c r="J7" t="s">
        <v>54</v>
      </c>
      <c r="K7">
        <v>4</v>
      </c>
      <c r="L7">
        <v>0</v>
      </c>
      <c r="M7">
        <v>4</v>
      </c>
      <c r="N7">
        <v>0</v>
      </c>
      <c r="O7">
        <v>12.990617300005299</v>
      </c>
      <c r="T7">
        <v>10</v>
      </c>
      <c r="U7">
        <v>12.9721187000104</v>
      </c>
      <c r="V7">
        <v>12.990617300005299</v>
      </c>
      <c r="W7">
        <v>12.990617300005299</v>
      </c>
      <c r="X7">
        <v>4.95187000196892E-2</v>
      </c>
      <c r="Y7">
        <v>14.4906576999928</v>
      </c>
      <c r="Z7" t="s">
        <v>64</v>
      </c>
      <c r="AA7" t="s">
        <v>65</v>
      </c>
      <c r="AB7" t="s">
        <v>51</v>
      </c>
      <c r="AC7" t="s">
        <v>52</v>
      </c>
      <c r="AD7" t="s">
        <v>52</v>
      </c>
      <c r="AE7" t="s">
        <v>66</v>
      </c>
      <c r="AF7" t="s">
        <v>54</v>
      </c>
      <c r="AK7" t="s">
        <v>44</v>
      </c>
      <c r="AL7">
        <v>1</v>
      </c>
      <c r="AM7" t="s">
        <v>45</v>
      </c>
      <c r="AN7" t="s">
        <v>46</v>
      </c>
      <c r="AP7" t="s">
        <v>47</v>
      </c>
      <c r="AQ7">
        <v>60.044012257098402</v>
      </c>
      <c r="AR7" t="s">
        <v>48</v>
      </c>
    </row>
    <row r="8" spans="1:44" x14ac:dyDescent="0.35">
      <c r="A8">
        <v>5</v>
      </c>
      <c r="B8">
        <v>0</v>
      </c>
      <c r="C8">
        <v>5</v>
      </c>
      <c r="D8" t="s">
        <v>67</v>
      </c>
      <c r="E8" t="s">
        <v>68</v>
      </c>
      <c r="F8" t="s">
        <v>51</v>
      </c>
      <c r="G8" t="s">
        <v>52</v>
      </c>
      <c r="H8" t="s">
        <v>52</v>
      </c>
      <c r="I8">
        <v>1.27541880001081</v>
      </c>
      <c r="J8" t="s">
        <v>54</v>
      </c>
      <c r="K8">
        <v>5</v>
      </c>
      <c r="L8">
        <v>0</v>
      </c>
      <c r="M8">
        <v>5</v>
      </c>
      <c r="N8">
        <v>0</v>
      </c>
      <c r="O8">
        <v>14.669882899994199</v>
      </c>
      <c r="T8">
        <v>10</v>
      </c>
      <c r="U8">
        <v>14.648650499992</v>
      </c>
      <c r="V8">
        <v>14.669882899994199</v>
      </c>
      <c r="W8">
        <v>14.669882899994199</v>
      </c>
      <c r="X8">
        <v>0.157779800007119</v>
      </c>
      <c r="Y8">
        <v>15.924211000005</v>
      </c>
      <c r="Z8" t="s">
        <v>67</v>
      </c>
      <c r="AA8" t="s">
        <v>68</v>
      </c>
      <c r="AB8" t="s">
        <v>51</v>
      </c>
      <c r="AC8" t="s">
        <v>52</v>
      </c>
      <c r="AD8" t="s">
        <v>52</v>
      </c>
      <c r="AE8" t="s">
        <v>69</v>
      </c>
      <c r="AF8" t="s">
        <v>54</v>
      </c>
      <c r="AK8" t="s">
        <v>44</v>
      </c>
      <c r="AL8">
        <v>1</v>
      </c>
      <c r="AM8" t="s">
        <v>45</v>
      </c>
      <c r="AN8" t="s">
        <v>46</v>
      </c>
      <c r="AP8" t="s">
        <v>47</v>
      </c>
      <c r="AQ8">
        <v>60.044012257098402</v>
      </c>
      <c r="AR8" t="s">
        <v>48</v>
      </c>
    </row>
    <row r="9" spans="1:44" x14ac:dyDescent="0.35">
      <c r="A9">
        <v>6</v>
      </c>
      <c r="B9">
        <v>0</v>
      </c>
      <c r="C9">
        <v>6</v>
      </c>
      <c r="D9" t="s">
        <v>70</v>
      </c>
      <c r="E9" t="s">
        <v>71</v>
      </c>
      <c r="F9" t="s">
        <v>51</v>
      </c>
      <c r="G9" t="s">
        <v>52</v>
      </c>
      <c r="H9" t="s">
        <v>52</v>
      </c>
      <c r="I9">
        <v>1.89797319998615</v>
      </c>
      <c r="J9" t="s">
        <v>54</v>
      </c>
      <c r="K9">
        <v>6</v>
      </c>
      <c r="L9">
        <v>0</v>
      </c>
      <c r="M9">
        <v>6</v>
      </c>
      <c r="N9">
        <v>0</v>
      </c>
      <c r="O9">
        <v>15.9939467000076</v>
      </c>
      <c r="T9">
        <v>10</v>
      </c>
      <c r="U9">
        <v>15.9765042999933</v>
      </c>
      <c r="V9">
        <v>15.9939467000076</v>
      </c>
      <c r="W9">
        <v>15.9939467000076</v>
      </c>
      <c r="X9">
        <v>5.1911999995354501E-2</v>
      </c>
      <c r="Y9">
        <v>17.874618200003098</v>
      </c>
      <c r="Z9" t="s">
        <v>70</v>
      </c>
      <c r="AA9" t="s">
        <v>71</v>
      </c>
      <c r="AB9" t="s">
        <v>51</v>
      </c>
      <c r="AC9" t="s">
        <v>52</v>
      </c>
      <c r="AD9" t="s">
        <v>52</v>
      </c>
      <c r="AE9" t="s">
        <v>72</v>
      </c>
      <c r="AF9" t="s">
        <v>54</v>
      </c>
      <c r="AK9" t="s">
        <v>44</v>
      </c>
      <c r="AL9">
        <v>1</v>
      </c>
      <c r="AM9" t="s">
        <v>45</v>
      </c>
      <c r="AN9" t="s">
        <v>46</v>
      </c>
      <c r="AP9" t="s">
        <v>47</v>
      </c>
      <c r="AQ9">
        <v>60.044012257098402</v>
      </c>
      <c r="AR9" t="s">
        <v>48</v>
      </c>
    </row>
    <row r="10" spans="1:44" x14ac:dyDescent="0.35">
      <c r="A10">
        <v>7</v>
      </c>
      <c r="B10">
        <v>0</v>
      </c>
      <c r="C10">
        <v>7</v>
      </c>
      <c r="D10" t="s">
        <v>73</v>
      </c>
      <c r="E10" t="s">
        <v>74</v>
      </c>
      <c r="F10" t="s">
        <v>51</v>
      </c>
      <c r="G10" t="s">
        <v>52</v>
      </c>
      <c r="H10" t="s">
        <v>52</v>
      </c>
      <c r="I10">
        <v>2.2055470999912301</v>
      </c>
      <c r="J10" t="s">
        <v>54</v>
      </c>
      <c r="K10">
        <v>7</v>
      </c>
      <c r="L10">
        <v>0</v>
      </c>
      <c r="M10">
        <v>7</v>
      </c>
      <c r="N10">
        <v>0</v>
      </c>
      <c r="O10">
        <v>17.912261799996401</v>
      </c>
      <c r="T10">
        <v>5</v>
      </c>
      <c r="U10">
        <v>17.9009649000072</v>
      </c>
      <c r="V10">
        <v>17.912261799996401</v>
      </c>
      <c r="W10">
        <v>17.912261799996401</v>
      </c>
      <c r="X10">
        <v>2.5985899992519899E-2</v>
      </c>
      <c r="Y10">
        <v>20.1066526999929</v>
      </c>
      <c r="Z10" t="s">
        <v>73</v>
      </c>
      <c r="AA10" t="s">
        <v>74</v>
      </c>
      <c r="AB10" t="s">
        <v>51</v>
      </c>
      <c r="AC10" t="s">
        <v>52</v>
      </c>
      <c r="AD10" t="s">
        <v>52</v>
      </c>
      <c r="AE10" t="s">
        <v>75</v>
      </c>
      <c r="AF10" t="s">
        <v>54</v>
      </c>
      <c r="AK10" t="s">
        <v>44</v>
      </c>
      <c r="AL10">
        <v>1</v>
      </c>
      <c r="AM10" t="s">
        <v>45</v>
      </c>
      <c r="AN10" t="s">
        <v>46</v>
      </c>
      <c r="AP10" t="s">
        <v>47</v>
      </c>
      <c r="AQ10">
        <v>60.044012257098402</v>
      </c>
      <c r="AR10" t="s">
        <v>48</v>
      </c>
    </row>
    <row r="11" spans="1:44" x14ac:dyDescent="0.35">
      <c r="A11">
        <v>8</v>
      </c>
      <c r="B11">
        <v>0</v>
      </c>
      <c r="C11">
        <v>8</v>
      </c>
      <c r="D11" t="s">
        <v>76</v>
      </c>
      <c r="E11" t="s">
        <v>77</v>
      </c>
      <c r="F11" t="s">
        <v>51</v>
      </c>
      <c r="G11" t="s">
        <v>52</v>
      </c>
      <c r="H11" t="s">
        <v>52</v>
      </c>
      <c r="I11">
        <v>2.3358197000052301</v>
      </c>
      <c r="J11" t="s">
        <v>54</v>
      </c>
      <c r="K11">
        <v>8</v>
      </c>
      <c r="L11">
        <v>0</v>
      </c>
      <c r="M11">
        <v>8</v>
      </c>
      <c r="N11">
        <v>0</v>
      </c>
      <c r="O11">
        <v>20.149763799999999</v>
      </c>
      <c r="T11">
        <v>5</v>
      </c>
      <c r="U11">
        <v>20.135784100013499</v>
      </c>
      <c r="V11">
        <v>20.149763799999999</v>
      </c>
      <c r="W11">
        <v>20.149763799999999</v>
      </c>
      <c r="X11">
        <v>2.8874800016637801E-2</v>
      </c>
      <c r="Y11">
        <v>22.4717134000093</v>
      </c>
      <c r="Z11" t="s">
        <v>76</v>
      </c>
      <c r="AA11" t="s">
        <v>77</v>
      </c>
      <c r="AB11" t="s">
        <v>51</v>
      </c>
      <c r="AC11" t="s">
        <v>52</v>
      </c>
      <c r="AD11" t="s">
        <v>52</v>
      </c>
      <c r="AE11" t="s">
        <v>78</v>
      </c>
      <c r="AF11" t="s">
        <v>54</v>
      </c>
      <c r="AK11" t="s">
        <v>44</v>
      </c>
      <c r="AL11">
        <v>1</v>
      </c>
      <c r="AM11" t="s">
        <v>45</v>
      </c>
      <c r="AN11" t="s">
        <v>46</v>
      </c>
      <c r="AP11" t="s">
        <v>47</v>
      </c>
      <c r="AQ11">
        <v>60.044012257098402</v>
      </c>
      <c r="AR11" t="s">
        <v>48</v>
      </c>
    </row>
    <row r="12" spans="1:44" x14ac:dyDescent="0.35">
      <c r="A12">
        <v>9</v>
      </c>
      <c r="B12">
        <v>0</v>
      </c>
      <c r="C12">
        <v>9</v>
      </c>
      <c r="D12" t="s">
        <v>79</v>
      </c>
      <c r="E12" t="s">
        <v>80</v>
      </c>
      <c r="F12" t="s">
        <v>51</v>
      </c>
      <c r="G12" t="s">
        <v>52</v>
      </c>
      <c r="H12" t="s">
        <v>52</v>
      </c>
      <c r="I12">
        <v>1.78949540000758</v>
      </c>
      <c r="J12" t="s">
        <v>54</v>
      </c>
      <c r="K12">
        <v>9</v>
      </c>
      <c r="L12">
        <v>0</v>
      </c>
      <c r="M12">
        <v>9</v>
      </c>
      <c r="N12">
        <v>0</v>
      </c>
      <c r="O12">
        <v>22.534864599991099</v>
      </c>
      <c r="T12">
        <v>10</v>
      </c>
      <c r="U12">
        <v>22.517328799993201</v>
      </c>
      <c r="V12">
        <v>22.534864599991099</v>
      </c>
      <c r="W12">
        <v>22.534864599991099</v>
      </c>
      <c r="X12">
        <v>4.5420799986459301E-2</v>
      </c>
      <c r="Y12">
        <v>24.306995699997</v>
      </c>
      <c r="Z12" t="s">
        <v>79</v>
      </c>
      <c r="AA12" t="s">
        <v>80</v>
      </c>
      <c r="AB12" t="s">
        <v>51</v>
      </c>
      <c r="AC12" t="s">
        <v>52</v>
      </c>
      <c r="AD12" t="s">
        <v>52</v>
      </c>
      <c r="AE12" t="s">
        <v>81</v>
      </c>
      <c r="AF12" t="s">
        <v>54</v>
      </c>
      <c r="AK12" t="s">
        <v>44</v>
      </c>
      <c r="AL12">
        <v>1</v>
      </c>
      <c r="AM12" t="s">
        <v>45</v>
      </c>
      <c r="AN12" t="s">
        <v>46</v>
      </c>
      <c r="AP12" t="s">
        <v>47</v>
      </c>
      <c r="AQ12">
        <v>60.044012257098402</v>
      </c>
      <c r="AR12" t="s">
        <v>48</v>
      </c>
    </row>
    <row r="13" spans="1:44" x14ac:dyDescent="0.35">
      <c r="A13">
        <v>10</v>
      </c>
      <c r="B13">
        <v>0</v>
      </c>
      <c r="C13">
        <v>10</v>
      </c>
      <c r="D13" t="s">
        <v>82</v>
      </c>
      <c r="E13" t="s">
        <v>83</v>
      </c>
      <c r="F13" t="s">
        <v>51</v>
      </c>
      <c r="G13" t="s">
        <v>52</v>
      </c>
      <c r="H13" t="s">
        <v>52</v>
      </c>
      <c r="I13">
        <v>1.7696667999844</v>
      </c>
      <c r="J13" t="s">
        <v>54</v>
      </c>
      <c r="K13">
        <v>10</v>
      </c>
      <c r="L13">
        <v>0</v>
      </c>
      <c r="M13">
        <v>10</v>
      </c>
      <c r="N13">
        <v>0</v>
      </c>
      <c r="O13">
        <v>24.368708599999</v>
      </c>
      <c r="T13">
        <v>10</v>
      </c>
      <c r="U13">
        <v>24.352768999990001</v>
      </c>
      <c r="V13">
        <v>24.368708599999</v>
      </c>
      <c r="W13">
        <v>24.368708599999</v>
      </c>
      <c r="X13">
        <v>4.5319299999391598E-2</v>
      </c>
      <c r="Y13">
        <v>26.122535000002198</v>
      </c>
      <c r="Z13" t="s">
        <v>82</v>
      </c>
      <c r="AA13" t="s">
        <v>83</v>
      </c>
      <c r="AB13" t="s">
        <v>51</v>
      </c>
      <c r="AC13" t="s">
        <v>52</v>
      </c>
      <c r="AD13" t="s">
        <v>52</v>
      </c>
      <c r="AE13" t="s">
        <v>84</v>
      </c>
      <c r="AF13" t="s">
        <v>54</v>
      </c>
      <c r="AK13" t="s">
        <v>44</v>
      </c>
      <c r="AL13">
        <v>1</v>
      </c>
      <c r="AM13" t="s">
        <v>45</v>
      </c>
      <c r="AN13" t="s">
        <v>46</v>
      </c>
      <c r="AP13" t="s">
        <v>47</v>
      </c>
      <c r="AQ13">
        <v>60.044012257098402</v>
      </c>
      <c r="AR13" t="s">
        <v>48</v>
      </c>
    </row>
    <row r="14" spans="1:44" x14ac:dyDescent="0.35">
      <c r="A14">
        <v>11</v>
      </c>
      <c r="B14">
        <v>0</v>
      </c>
      <c r="C14">
        <v>11</v>
      </c>
      <c r="D14" t="s">
        <v>85</v>
      </c>
      <c r="E14" t="s">
        <v>86</v>
      </c>
      <c r="F14" t="s">
        <v>51</v>
      </c>
      <c r="G14" t="s">
        <v>52</v>
      </c>
      <c r="H14" t="s">
        <v>52</v>
      </c>
      <c r="I14">
        <v>1.7416482999978999</v>
      </c>
      <c r="J14" t="s">
        <v>54</v>
      </c>
      <c r="K14">
        <v>11</v>
      </c>
      <c r="L14">
        <v>0</v>
      </c>
      <c r="M14">
        <v>11</v>
      </c>
      <c r="N14">
        <v>0</v>
      </c>
      <c r="O14">
        <v>26.182871099998</v>
      </c>
      <c r="T14">
        <v>10</v>
      </c>
      <c r="U14">
        <v>26.166070500010299</v>
      </c>
      <c r="V14">
        <v>26.182871099998</v>
      </c>
      <c r="W14">
        <v>26.182871099998</v>
      </c>
      <c r="X14">
        <v>4.3278500001178999E-2</v>
      </c>
      <c r="Y14">
        <v>27.907868600013899</v>
      </c>
      <c r="Z14" t="s">
        <v>85</v>
      </c>
      <c r="AA14" t="s">
        <v>86</v>
      </c>
      <c r="AB14" t="s">
        <v>51</v>
      </c>
      <c r="AC14" t="s">
        <v>52</v>
      </c>
      <c r="AD14" t="s">
        <v>52</v>
      </c>
      <c r="AE14" t="s">
        <v>87</v>
      </c>
      <c r="AF14" t="s">
        <v>54</v>
      </c>
      <c r="AK14" t="s">
        <v>44</v>
      </c>
      <c r="AL14">
        <v>1</v>
      </c>
      <c r="AM14" t="s">
        <v>45</v>
      </c>
      <c r="AN14" t="s">
        <v>46</v>
      </c>
      <c r="AP14" t="s">
        <v>47</v>
      </c>
      <c r="AQ14">
        <v>60.044012257098402</v>
      </c>
      <c r="AR14" t="s">
        <v>48</v>
      </c>
    </row>
    <row r="15" spans="1:44" x14ac:dyDescent="0.35">
      <c r="A15">
        <v>12</v>
      </c>
      <c r="B15">
        <v>0</v>
      </c>
      <c r="C15">
        <v>12</v>
      </c>
      <c r="D15" t="s">
        <v>88</v>
      </c>
      <c r="E15" t="s">
        <v>89</v>
      </c>
      <c r="F15" t="s">
        <v>51</v>
      </c>
      <c r="G15" t="s">
        <v>52</v>
      </c>
      <c r="H15" t="s">
        <v>52</v>
      </c>
      <c r="I15">
        <v>1.5260482000012401</v>
      </c>
      <c r="J15" t="s">
        <v>54</v>
      </c>
      <c r="K15">
        <v>12</v>
      </c>
      <c r="L15">
        <v>0</v>
      </c>
      <c r="M15">
        <v>12</v>
      </c>
      <c r="N15">
        <v>0</v>
      </c>
      <c r="O15">
        <v>27.941869500005801</v>
      </c>
      <c r="T15">
        <v>5</v>
      </c>
      <c r="U15">
        <v>27.930820700013999</v>
      </c>
      <c r="V15">
        <v>27.941869500005801</v>
      </c>
      <c r="W15">
        <v>27.941869500005801</v>
      </c>
      <c r="X15">
        <v>2.27111999993212E-2</v>
      </c>
      <c r="Y15">
        <v>29.456986900011501</v>
      </c>
      <c r="Z15" t="s">
        <v>88</v>
      </c>
      <c r="AA15" t="s">
        <v>89</v>
      </c>
      <c r="AB15" t="s">
        <v>51</v>
      </c>
      <c r="AC15" t="s">
        <v>52</v>
      </c>
      <c r="AD15" t="s">
        <v>52</v>
      </c>
      <c r="AE15" t="s">
        <v>90</v>
      </c>
      <c r="AF15" t="s">
        <v>54</v>
      </c>
      <c r="AK15" t="s">
        <v>44</v>
      </c>
      <c r="AL15">
        <v>1</v>
      </c>
      <c r="AM15" t="s">
        <v>45</v>
      </c>
      <c r="AN15" t="s">
        <v>46</v>
      </c>
      <c r="AP15" t="s">
        <v>47</v>
      </c>
      <c r="AQ15">
        <v>60.044012257098402</v>
      </c>
      <c r="AR15" t="s">
        <v>48</v>
      </c>
    </row>
    <row r="16" spans="1:44" x14ac:dyDescent="0.35">
      <c r="A16">
        <v>13</v>
      </c>
      <c r="B16">
        <v>0</v>
      </c>
      <c r="C16">
        <v>13</v>
      </c>
      <c r="D16" t="s">
        <v>91</v>
      </c>
      <c r="E16" t="s">
        <v>92</v>
      </c>
      <c r="F16" t="s">
        <v>51</v>
      </c>
      <c r="G16" t="s">
        <v>52</v>
      </c>
      <c r="H16" t="s">
        <v>52</v>
      </c>
      <c r="I16">
        <v>1.52385060000233</v>
      </c>
      <c r="J16" t="s">
        <v>54</v>
      </c>
      <c r="K16">
        <v>13</v>
      </c>
      <c r="L16">
        <v>0</v>
      </c>
      <c r="M16">
        <v>13</v>
      </c>
      <c r="N16">
        <v>0</v>
      </c>
      <c r="O16">
        <v>29.491337000013999</v>
      </c>
      <c r="T16">
        <v>5</v>
      </c>
      <c r="U16">
        <v>29.480931500002001</v>
      </c>
      <c r="V16">
        <v>29.491337000013999</v>
      </c>
      <c r="W16">
        <v>29.491337000013999</v>
      </c>
      <c r="X16">
        <v>2.3750000022118901E-2</v>
      </c>
      <c r="Y16">
        <v>31.004888800001901</v>
      </c>
      <c r="Z16" t="s">
        <v>91</v>
      </c>
      <c r="AA16" t="s">
        <v>92</v>
      </c>
      <c r="AB16" t="s">
        <v>51</v>
      </c>
      <c r="AC16" t="s">
        <v>52</v>
      </c>
      <c r="AD16" t="s">
        <v>52</v>
      </c>
      <c r="AE16" t="s">
        <v>93</v>
      </c>
      <c r="AF16" t="s">
        <v>54</v>
      </c>
      <c r="AK16" t="s">
        <v>44</v>
      </c>
      <c r="AL16">
        <v>1</v>
      </c>
      <c r="AM16" t="s">
        <v>45</v>
      </c>
      <c r="AN16" t="s">
        <v>46</v>
      </c>
      <c r="AP16" t="s">
        <v>47</v>
      </c>
      <c r="AQ16">
        <v>60.044012257098402</v>
      </c>
      <c r="AR16" t="s">
        <v>48</v>
      </c>
    </row>
    <row r="17" spans="1:44" x14ac:dyDescent="0.35">
      <c r="A17">
        <v>14</v>
      </c>
      <c r="B17">
        <v>0</v>
      </c>
      <c r="C17">
        <v>14</v>
      </c>
      <c r="D17" t="s">
        <v>94</v>
      </c>
      <c r="E17" t="s">
        <v>95</v>
      </c>
      <c r="F17" t="s">
        <v>51</v>
      </c>
      <c r="G17" t="s">
        <v>52</v>
      </c>
      <c r="H17" t="s">
        <v>52</v>
      </c>
      <c r="I17">
        <v>2.49605459999293</v>
      </c>
      <c r="J17" t="s">
        <v>54</v>
      </c>
      <c r="K17">
        <v>14</v>
      </c>
      <c r="L17">
        <v>0</v>
      </c>
      <c r="M17">
        <v>14</v>
      </c>
      <c r="N17">
        <v>0</v>
      </c>
      <c r="O17">
        <v>31.041590700013298</v>
      </c>
      <c r="T17">
        <v>5</v>
      </c>
      <c r="U17">
        <v>31.028390799998299</v>
      </c>
      <c r="V17">
        <v>31.041590700013298</v>
      </c>
      <c r="W17">
        <v>31.041590700013298</v>
      </c>
      <c r="X17">
        <v>2.33046000066678E-2</v>
      </c>
      <c r="Y17">
        <v>33.524564699997399</v>
      </c>
      <c r="Z17" t="s">
        <v>94</v>
      </c>
      <c r="AA17" t="s">
        <v>95</v>
      </c>
      <c r="AB17" t="s">
        <v>51</v>
      </c>
      <c r="AC17" t="s">
        <v>52</v>
      </c>
      <c r="AD17" t="s">
        <v>52</v>
      </c>
      <c r="AE17" t="s">
        <v>96</v>
      </c>
      <c r="AF17" t="s">
        <v>54</v>
      </c>
      <c r="AK17" t="s">
        <v>44</v>
      </c>
      <c r="AL17">
        <v>1</v>
      </c>
      <c r="AM17" t="s">
        <v>45</v>
      </c>
      <c r="AN17" t="s">
        <v>46</v>
      </c>
      <c r="AP17" t="s">
        <v>47</v>
      </c>
      <c r="AQ17">
        <v>60.044012257098402</v>
      </c>
      <c r="AR17" t="s">
        <v>48</v>
      </c>
    </row>
    <row r="18" spans="1:44" x14ac:dyDescent="0.35">
      <c r="A18">
        <v>15</v>
      </c>
      <c r="B18">
        <v>0</v>
      </c>
      <c r="C18">
        <v>15</v>
      </c>
      <c r="D18" t="s">
        <v>97</v>
      </c>
      <c r="E18" t="s">
        <v>98</v>
      </c>
      <c r="F18" t="s">
        <v>51</v>
      </c>
      <c r="G18" t="s">
        <v>52</v>
      </c>
      <c r="H18" t="s">
        <v>52</v>
      </c>
      <c r="I18">
        <v>1.9570567999908199</v>
      </c>
      <c r="J18" t="s">
        <v>54</v>
      </c>
      <c r="K18">
        <v>15</v>
      </c>
      <c r="L18">
        <v>0</v>
      </c>
      <c r="M18">
        <v>15</v>
      </c>
      <c r="N18">
        <v>0</v>
      </c>
      <c r="O18">
        <v>33.561508100014102</v>
      </c>
      <c r="T18">
        <v>5</v>
      </c>
      <c r="U18">
        <v>33.549261400010401</v>
      </c>
      <c r="V18">
        <v>33.561508100014102</v>
      </c>
      <c r="W18">
        <v>33.561508100014102</v>
      </c>
      <c r="X18">
        <v>2.44971000065561E-2</v>
      </c>
      <c r="Y18">
        <v>35.5064593999995</v>
      </c>
      <c r="Z18" t="s">
        <v>97</v>
      </c>
      <c r="AA18" t="s">
        <v>98</v>
      </c>
      <c r="AB18" t="s">
        <v>51</v>
      </c>
      <c r="AC18" t="s">
        <v>52</v>
      </c>
      <c r="AD18" t="s">
        <v>52</v>
      </c>
      <c r="AE18" t="s">
        <v>99</v>
      </c>
      <c r="AF18" t="s">
        <v>54</v>
      </c>
      <c r="AK18" t="s">
        <v>44</v>
      </c>
      <c r="AL18">
        <v>1</v>
      </c>
      <c r="AM18" t="s">
        <v>45</v>
      </c>
      <c r="AN18" t="s">
        <v>46</v>
      </c>
      <c r="AP18" t="s">
        <v>47</v>
      </c>
      <c r="AQ18">
        <v>60.044012257098402</v>
      </c>
      <c r="AR18" t="s">
        <v>48</v>
      </c>
    </row>
    <row r="19" spans="1:44" x14ac:dyDescent="0.35">
      <c r="A19">
        <v>16</v>
      </c>
      <c r="B19">
        <v>0</v>
      </c>
      <c r="C19">
        <v>16</v>
      </c>
      <c r="D19" t="s">
        <v>100</v>
      </c>
      <c r="E19" t="s">
        <v>101</v>
      </c>
      <c r="F19" t="s">
        <v>51</v>
      </c>
      <c r="G19" t="s">
        <v>52</v>
      </c>
      <c r="H19" t="s">
        <v>52</v>
      </c>
      <c r="I19">
        <v>1.7925442999985499</v>
      </c>
      <c r="J19" t="s">
        <v>54</v>
      </c>
      <c r="K19">
        <v>16</v>
      </c>
      <c r="L19">
        <v>0</v>
      </c>
      <c r="M19">
        <v>16</v>
      </c>
      <c r="N19">
        <v>0</v>
      </c>
      <c r="O19">
        <v>35.541596599999998</v>
      </c>
      <c r="T19">
        <v>5</v>
      </c>
      <c r="U19">
        <v>35.531091600016197</v>
      </c>
      <c r="V19">
        <v>35.541596599999998</v>
      </c>
      <c r="W19">
        <v>35.541596599999998</v>
      </c>
      <c r="X19">
        <v>2.4240200000349401E-2</v>
      </c>
      <c r="Y19">
        <v>37.323756199999401</v>
      </c>
      <c r="Z19" t="s">
        <v>100</v>
      </c>
      <c r="AA19" t="s">
        <v>101</v>
      </c>
      <c r="AB19" t="s">
        <v>51</v>
      </c>
      <c r="AC19" t="s">
        <v>52</v>
      </c>
      <c r="AD19" t="s">
        <v>52</v>
      </c>
      <c r="AE19" t="s">
        <v>102</v>
      </c>
      <c r="AF19" t="s">
        <v>54</v>
      </c>
      <c r="AK19" t="s">
        <v>44</v>
      </c>
      <c r="AL19">
        <v>1</v>
      </c>
      <c r="AM19" t="s">
        <v>45</v>
      </c>
      <c r="AN19" t="s">
        <v>46</v>
      </c>
      <c r="AP19" t="s">
        <v>47</v>
      </c>
      <c r="AQ19">
        <v>60.044012257098402</v>
      </c>
      <c r="AR19" t="s">
        <v>48</v>
      </c>
    </row>
    <row r="20" spans="1:44" x14ac:dyDescent="0.35">
      <c r="A20">
        <v>17</v>
      </c>
      <c r="B20">
        <v>0</v>
      </c>
      <c r="C20">
        <v>17</v>
      </c>
      <c r="D20" t="s">
        <v>103</v>
      </c>
      <c r="E20" t="s">
        <v>104</v>
      </c>
      <c r="F20" t="s">
        <v>51</v>
      </c>
      <c r="G20" t="s">
        <v>52</v>
      </c>
      <c r="H20" t="s">
        <v>52</v>
      </c>
      <c r="I20">
        <v>1.9419025999959501</v>
      </c>
      <c r="J20" t="s">
        <v>54</v>
      </c>
      <c r="K20">
        <v>17</v>
      </c>
      <c r="L20">
        <v>0</v>
      </c>
      <c r="M20">
        <v>17</v>
      </c>
      <c r="N20">
        <v>0</v>
      </c>
      <c r="O20">
        <v>37.358864700014202</v>
      </c>
      <c r="T20">
        <v>5</v>
      </c>
      <c r="U20">
        <v>37.348780300002502</v>
      </c>
      <c r="V20">
        <v>37.358864700014202</v>
      </c>
      <c r="W20">
        <v>37.358864700014202</v>
      </c>
      <c r="X20">
        <v>2.48178000038024E-2</v>
      </c>
      <c r="Y20">
        <v>39.290799400012403</v>
      </c>
      <c r="Z20" t="s">
        <v>103</v>
      </c>
      <c r="AA20" t="s">
        <v>104</v>
      </c>
      <c r="AB20" t="s">
        <v>51</v>
      </c>
      <c r="AC20" t="s">
        <v>52</v>
      </c>
      <c r="AD20" t="s">
        <v>52</v>
      </c>
      <c r="AE20" t="s">
        <v>105</v>
      </c>
      <c r="AF20" t="s">
        <v>54</v>
      </c>
      <c r="AK20" t="s">
        <v>44</v>
      </c>
      <c r="AL20">
        <v>1</v>
      </c>
      <c r="AM20" t="s">
        <v>45</v>
      </c>
      <c r="AN20" t="s">
        <v>46</v>
      </c>
      <c r="AP20" t="s">
        <v>47</v>
      </c>
      <c r="AQ20">
        <v>60.044012257098402</v>
      </c>
      <c r="AR20" t="s">
        <v>48</v>
      </c>
    </row>
    <row r="21" spans="1:44" x14ac:dyDescent="0.35">
      <c r="A21">
        <v>18</v>
      </c>
      <c r="B21">
        <v>0</v>
      </c>
      <c r="C21">
        <v>18</v>
      </c>
      <c r="D21" t="s">
        <v>106</v>
      </c>
      <c r="E21" t="s">
        <v>107</v>
      </c>
      <c r="F21" t="s">
        <v>51</v>
      </c>
      <c r="G21" t="s">
        <v>52</v>
      </c>
      <c r="H21" t="s">
        <v>52</v>
      </c>
      <c r="I21">
        <v>1.7026999000227001</v>
      </c>
      <c r="J21" t="s">
        <v>54</v>
      </c>
      <c r="K21">
        <v>18</v>
      </c>
      <c r="L21">
        <v>0</v>
      </c>
      <c r="M21">
        <v>18</v>
      </c>
      <c r="N21">
        <v>0</v>
      </c>
      <c r="O21">
        <v>39.357649700017603</v>
      </c>
      <c r="T21">
        <v>10</v>
      </c>
      <c r="U21">
        <v>39.338454700016797</v>
      </c>
      <c r="V21">
        <v>39.357649700017603</v>
      </c>
      <c r="W21">
        <v>39.357649700017603</v>
      </c>
      <c r="X21">
        <v>4.7488299984251997E-2</v>
      </c>
      <c r="Y21">
        <v>41.041272100002899</v>
      </c>
      <c r="Z21" t="s">
        <v>106</v>
      </c>
      <c r="AA21" t="s">
        <v>107</v>
      </c>
      <c r="AB21" t="s">
        <v>51</v>
      </c>
      <c r="AC21" t="s">
        <v>52</v>
      </c>
      <c r="AD21" t="s">
        <v>52</v>
      </c>
      <c r="AE21" t="s">
        <v>108</v>
      </c>
      <c r="AF21" t="s">
        <v>54</v>
      </c>
      <c r="AK21" t="s">
        <v>44</v>
      </c>
      <c r="AL21">
        <v>1</v>
      </c>
      <c r="AM21" t="s">
        <v>45</v>
      </c>
      <c r="AN21" t="s">
        <v>46</v>
      </c>
      <c r="AP21" t="s">
        <v>47</v>
      </c>
      <c r="AQ21">
        <v>60.044012257098402</v>
      </c>
      <c r="AR21" t="s">
        <v>48</v>
      </c>
    </row>
    <row r="22" spans="1:44" x14ac:dyDescent="0.35">
      <c r="A22">
        <v>19</v>
      </c>
      <c r="B22">
        <v>0</v>
      </c>
      <c r="C22">
        <v>19</v>
      </c>
      <c r="D22" t="s">
        <v>109</v>
      </c>
      <c r="E22" t="s">
        <v>110</v>
      </c>
      <c r="F22" t="s">
        <v>51</v>
      </c>
      <c r="G22" t="s">
        <v>52</v>
      </c>
      <c r="H22" t="s">
        <v>52</v>
      </c>
      <c r="I22">
        <v>1.3542969000118299</v>
      </c>
      <c r="J22" t="s">
        <v>54</v>
      </c>
      <c r="K22">
        <v>19</v>
      </c>
      <c r="L22">
        <v>0</v>
      </c>
      <c r="M22">
        <v>19</v>
      </c>
      <c r="N22">
        <v>0</v>
      </c>
      <c r="O22">
        <v>41.102002600004198</v>
      </c>
      <c r="T22">
        <v>10</v>
      </c>
      <c r="U22">
        <v>41.085948399995601</v>
      </c>
      <c r="V22">
        <v>41.102002600004198</v>
      </c>
      <c r="W22">
        <v>41.102002600004198</v>
      </c>
      <c r="X22">
        <v>4.4409899972379201E-2</v>
      </c>
      <c r="Y22">
        <v>42.440361200016902</v>
      </c>
      <c r="Z22" t="s">
        <v>109</v>
      </c>
      <c r="AA22" t="s">
        <v>110</v>
      </c>
      <c r="AB22" t="s">
        <v>51</v>
      </c>
      <c r="AC22" t="s">
        <v>52</v>
      </c>
      <c r="AD22" t="s">
        <v>52</v>
      </c>
      <c r="AE22" t="s">
        <v>111</v>
      </c>
      <c r="AF22" t="s">
        <v>54</v>
      </c>
      <c r="AK22" t="s">
        <v>44</v>
      </c>
      <c r="AL22">
        <v>1</v>
      </c>
      <c r="AM22" t="s">
        <v>45</v>
      </c>
      <c r="AN22" t="s">
        <v>46</v>
      </c>
      <c r="AP22" t="s">
        <v>47</v>
      </c>
      <c r="AQ22">
        <v>60.044012257098402</v>
      </c>
      <c r="AR22" t="s">
        <v>48</v>
      </c>
    </row>
    <row r="23" spans="1:44" x14ac:dyDescent="0.35">
      <c r="A23">
        <v>20</v>
      </c>
      <c r="B23">
        <v>0</v>
      </c>
      <c r="C23">
        <v>20</v>
      </c>
      <c r="D23" t="s">
        <v>112</v>
      </c>
      <c r="E23" t="s">
        <v>113</v>
      </c>
      <c r="F23" t="s">
        <v>51</v>
      </c>
      <c r="G23" t="s">
        <v>52</v>
      </c>
      <c r="H23" t="s">
        <v>52</v>
      </c>
      <c r="I23">
        <v>1.46122789999935</v>
      </c>
      <c r="J23" t="s">
        <v>54</v>
      </c>
      <c r="K23">
        <v>20</v>
      </c>
      <c r="L23">
        <v>0</v>
      </c>
      <c r="M23">
        <v>20</v>
      </c>
      <c r="N23">
        <v>0</v>
      </c>
      <c r="O23">
        <v>42.474193800007903</v>
      </c>
      <c r="T23">
        <v>5</v>
      </c>
      <c r="U23">
        <v>42.463929699995703</v>
      </c>
      <c r="V23">
        <v>42.474193800007903</v>
      </c>
      <c r="W23">
        <v>42.474193800007903</v>
      </c>
      <c r="X23">
        <v>2.33432999812066E-2</v>
      </c>
      <c r="Y23">
        <v>43.925281100004199</v>
      </c>
      <c r="Z23" t="s">
        <v>112</v>
      </c>
      <c r="AA23" t="s">
        <v>113</v>
      </c>
      <c r="AB23" t="s">
        <v>51</v>
      </c>
      <c r="AC23" t="s">
        <v>52</v>
      </c>
      <c r="AD23" t="s">
        <v>52</v>
      </c>
      <c r="AE23" t="s">
        <v>114</v>
      </c>
      <c r="AF23" t="s">
        <v>54</v>
      </c>
      <c r="AK23" t="s">
        <v>44</v>
      </c>
      <c r="AL23">
        <v>1</v>
      </c>
      <c r="AM23" t="s">
        <v>45</v>
      </c>
      <c r="AN23" t="s">
        <v>46</v>
      </c>
      <c r="AP23" t="s">
        <v>47</v>
      </c>
      <c r="AQ23">
        <v>60.044012257098402</v>
      </c>
      <c r="AR23" t="s">
        <v>48</v>
      </c>
    </row>
    <row r="24" spans="1:44" x14ac:dyDescent="0.35">
      <c r="A24">
        <v>21</v>
      </c>
      <c r="B24">
        <v>0</v>
      </c>
      <c r="C24">
        <v>21</v>
      </c>
      <c r="D24" t="s">
        <v>115</v>
      </c>
      <c r="E24" t="s">
        <v>116</v>
      </c>
      <c r="F24" t="s">
        <v>51</v>
      </c>
      <c r="G24" t="s">
        <v>52</v>
      </c>
      <c r="H24" t="s">
        <v>52</v>
      </c>
      <c r="I24">
        <v>1.6049286999914301</v>
      </c>
      <c r="J24" t="s">
        <v>54</v>
      </c>
      <c r="K24">
        <v>21</v>
      </c>
      <c r="L24">
        <v>0</v>
      </c>
      <c r="M24">
        <v>21</v>
      </c>
      <c r="N24">
        <v>0</v>
      </c>
      <c r="O24">
        <v>43.961440200015197</v>
      </c>
      <c r="T24">
        <v>5</v>
      </c>
      <c r="U24">
        <v>43.9509133000101</v>
      </c>
      <c r="V24">
        <v>43.961440200015197</v>
      </c>
      <c r="W24">
        <v>43.961440200015197</v>
      </c>
      <c r="X24">
        <v>2.5118500023381701E-2</v>
      </c>
      <c r="Y24">
        <v>45.555949800007497</v>
      </c>
      <c r="Z24" t="s">
        <v>115</v>
      </c>
      <c r="AA24" t="s">
        <v>116</v>
      </c>
      <c r="AB24" t="s">
        <v>51</v>
      </c>
      <c r="AC24" t="s">
        <v>52</v>
      </c>
      <c r="AD24" t="s">
        <v>52</v>
      </c>
      <c r="AE24" t="s">
        <v>117</v>
      </c>
      <c r="AF24" t="s">
        <v>54</v>
      </c>
      <c r="AK24" t="s">
        <v>44</v>
      </c>
      <c r="AL24">
        <v>1</v>
      </c>
      <c r="AM24" t="s">
        <v>45</v>
      </c>
      <c r="AN24" t="s">
        <v>46</v>
      </c>
      <c r="AP24" t="s">
        <v>47</v>
      </c>
      <c r="AQ24">
        <v>60.044012257098402</v>
      </c>
      <c r="AR24" t="s">
        <v>48</v>
      </c>
    </row>
    <row r="25" spans="1:44" x14ac:dyDescent="0.35">
      <c r="A25">
        <v>22</v>
      </c>
      <c r="B25">
        <v>0</v>
      </c>
      <c r="C25">
        <v>22</v>
      </c>
      <c r="D25" t="s">
        <v>118</v>
      </c>
      <c r="E25" t="s">
        <v>119</v>
      </c>
      <c r="F25" t="s">
        <v>51</v>
      </c>
      <c r="G25" t="s">
        <v>52</v>
      </c>
      <c r="H25" t="s">
        <v>52</v>
      </c>
      <c r="I25">
        <v>1.89205460000084</v>
      </c>
      <c r="J25" t="s">
        <v>54</v>
      </c>
      <c r="K25">
        <v>22</v>
      </c>
      <c r="L25">
        <v>0</v>
      </c>
      <c r="M25">
        <v>22</v>
      </c>
      <c r="N25">
        <v>0</v>
      </c>
      <c r="O25">
        <v>45.595276900014099</v>
      </c>
      <c r="T25">
        <v>5</v>
      </c>
      <c r="U25">
        <v>45.580603300011703</v>
      </c>
      <c r="V25">
        <v>45.595276900014099</v>
      </c>
      <c r="W25">
        <v>45.595276900014099</v>
      </c>
      <c r="X25">
        <v>2.44721000199206E-2</v>
      </c>
      <c r="Y25">
        <v>47.472780100011697</v>
      </c>
      <c r="Z25" t="s">
        <v>118</v>
      </c>
      <c r="AA25" t="s">
        <v>119</v>
      </c>
      <c r="AB25" t="s">
        <v>51</v>
      </c>
      <c r="AC25" t="s">
        <v>52</v>
      </c>
      <c r="AD25" t="s">
        <v>52</v>
      </c>
      <c r="AE25" t="s">
        <v>120</v>
      </c>
      <c r="AF25" t="s">
        <v>54</v>
      </c>
      <c r="AK25" t="s">
        <v>44</v>
      </c>
      <c r="AL25">
        <v>1</v>
      </c>
      <c r="AM25" t="s">
        <v>45</v>
      </c>
      <c r="AN25" t="s">
        <v>46</v>
      </c>
      <c r="AP25" t="s">
        <v>47</v>
      </c>
      <c r="AQ25">
        <v>60.044012257098402</v>
      </c>
      <c r="AR25" t="s">
        <v>48</v>
      </c>
    </row>
    <row r="26" spans="1:44" x14ac:dyDescent="0.35">
      <c r="A26">
        <v>23</v>
      </c>
      <c r="B26">
        <v>0</v>
      </c>
      <c r="C26">
        <v>23</v>
      </c>
      <c r="D26" t="s">
        <v>121</v>
      </c>
      <c r="E26" t="s">
        <v>122</v>
      </c>
      <c r="F26" t="s">
        <v>51</v>
      </c>
      <c r="G26" t="s">
        <v>52</v>
      </c>
      <c r="H26" t="s">
        <v>52</v>
      </c>
      <c r="I26">
        <v>1.4312141000118499</v>
      </c>
      <c r="J26" t="s">
        <v>54</v>
      </c>
      <c r="K26">
        <v>23</v>
      </c>
      <c r="L26">
        <v>0</v>
      </c>
      <c r="M26">
        <v>23</v>
      </c>
      <c r="N26">
        <v>0</v>
      </c>
      <c r="O26">
        <v>47.545622800011103</v>
      </c>
      <c r="T26">
        <v>10</v>
      </c>
      <c r="U26">
        <v>47.5247384000103</v>
      </c>
      <c r="V26">
        <v>47.545622800011103</v>
      </c>
      <c r="W26">
        <v>47.545622800011103</v>
      </c>
      <c r="X26">
        <v>5.1660099998116403E-2</v>
      </c>
      <c r="Y26">
        <v>48.956063199992002</v>
      </c>
      <c r="Z26" t="s">
        <v>121</v>
      </c>
      <c r="AA26" t="s">
        <v>122</v>
      </c>
      <c r="AB26" t="s">
        <v>51</v>
      </c>
      <c r="AC26" t="s">
        <v>52</v>
      </c>
      <c r="AD26" t="s">
        <v>52</v>
      </c>
      <c r="AE26" t="s">
        <v>123</v>
      </c>
      <c r="AF26" t="s">
        <v>54</v>
      </c>
      <c r="AK26" t="s">
        <v>44</v>
      </c>
      <c r="AL26">
        <v>1</v>
      </c>
      <c r="AM26" t="s">
        <v>45</v>
      </c>
      <c r="AN26" t="s">
        <v>46</v>
      </c>
      <c r="AP26" t="s">
        <v>47</v>
      </c>
      <c r="AQ26">
        <v>60.044012257098402</v>
      </c>
      <c r="AR26" t="s">
        <v>48</v>
      </c>
    </row>
    <row r="27" spans="1:44" x14ac:dyDescent="0.35">
      <c r="A27">
        <v>24</v>
      </c>
      <c r="B27">
        <v>0</v>
      </c>
      <c r="C27">
        <v>24</v>
      </c>
      <c r="D27" t="s">
        <v>124</v>
      </c>
      <c r="E27" t="s">
        <v>125</v>
      </c>
      <c r="F27" t="s">
        <v>51</v>
      </c>
      <c r="G27" t="s">
        <v>52</v>
      </c>
      <c r="H27" t="s">
        <v>52</v>
      </c>
      <c r="I27">
        <v>2.0236650000151699</v>
      </c>
      <c r="J27" t="s">
        <v>54</v>
      </c>
      <c r="K27">
        <v>24</v>
      </c>
      <c r="L27">
        <v>0</v>
      </c>
      <c r="M27">
        <v>24</v>
      </c>
      <c r="N27">
        <v>0</v>
      </c>
      <c r="O27">
        <v>49.018259300006299</v>
      </c>
      <c r="T27">
        <v>10</v>
      </c>
      <c r="U27">
        <v>49.000755799992397</v>
      </c>
      <c r="V27">
        <v>49.018259300006299</v>
      </c>
      <c r="W27">
        <v>49.018259300006299</v>
      </c>
      <c r="X27">
        <v>4.4428199995309101E-2</v>
      </c>
      <c r="Y27">
        <v>51.024559000012196</v>
      </c>
      <c r="Z27" t="s">
        <v>124</v>
      </c>
      <c r="AA27" t="s">
        <v>125</v>
      </c>
      <c r="AB27" t="s">
        <v>51</v>
      </c>
      <c r="AC27" t="s">
        <v>52</v>
      </c>
      <c r="AD27" t="s">
        <v>52</v>
      </c>
      <c r="AE27" t="s">
        <v>126</v>
      </c>
      <c r="AF27" t="s">
        <v>54</v>
      </c>
      <c r="AK27" t="s">
        <v>44</v>
      </c>
      <c r="AL27">
        <v>1</v>
      </c>
      <c r="AM27" t="s">
        <v>45</v>
      </c>
      <c r="AN27" t="s">
        <v>46</v>
      </c>
      <c r="AP27" t="s">
        <v>47</v>
      </c>
      <c r="AQ27">
        <v>60.044012257098402</v>
      </c>
      <c r="AR27" t="s">
        <v>48</v>
      </c>
    </row>
    <row r="28" spans="1:44" x14ac:dyDescent="0.35">
      <c r="A28">
        <v>25</v>
      </c>
      <c r="B28">
        <v>0</v>
      </c>
      <c r="C28">
        <v>25</v>
      </c>
      <c r="D28" t="s">
        <v>127</v>
      </c>
      <c r="E28" t="s">
        <v>128</v>
      </c>
      <c r="F28" t="s">
        <v>51</v>
      </c>
      <c r="G28" t="s">
        <v>52</v>
      </c>
      <c r="H28" t="s">
        <v>52</v>
      </c>
      <c r="I28">
        <v>1.9563311000238099</v>
      </c>
      <c r="J28" t="s">
        <v>54</v>
      </c>
      <c r="K28">
        <v>25</v>
      </c>
      <c r="L28">
        <v>0</v>
      </c>
      <c r="M28">
        <v>25</v>
      </c>
      <c r="N28">
        <v>0</v>
      </c>
      <c r="O28">
        <v>51.062824399996302</v>
      </c>
      <c r="T28">
        <v>5</v>
      </c>
      <c r="U28">
        <v>51.050326299999099</v>
      </c>
      <c r="V28">
        <v>51.062824399996302</v>
      </c>
      <c r="W28">
        <v>51.062824399996302</v>
      </c>
      <c r="X28">
        <v>2.5493400025879898E-2</v>
      </c>
      <c r="Y28">
        <v>53.006822199997202</v>
      </c>
      <c r="Z28" t="s">
        <v>127</v>
      </c>
      <c r="AA28" t="s">
        <v>128</v>
      </c>
      <c r="AB28" t="s">
        <v>51</v>
      </c>
      <c r="AC28" t="s">
        <v>52</v>
      </c>
      <c r="AD28" t="s">
        <v>52</v>
      </c>
      <c r="AE28" t="s">
        <v>129</v>
      </c>
      <c r="AF28" t="s">
        <v>54</v>
      </c>
      <c r="AK28" t="s">
        <v>44</v>
      </c>
      <c r="AL28">
        <v>1</v>
      </c>
      <c r="AM28" t="s">
        <v>45</v>
      </c>
      <c r="AN28" t="s">
        <v>46</v>
      </c>
      <c r="AP28" t="s">
        <v>47</v>
      </c>
      <c r="AQ28">
        <v>60.044012257098402</v>
      </c>
      <c r="AR28" t="s">
        <v>48</v>
      </c>
    </row>
    <row r="29" spans="1:44" x14ac:dyDescent="0.35">
      <c r="A29">
        <v>26</v>
      </c>
      <c r="B29">
        <v>0</v>
      </c>
      <c r="C29">
        <v>26</v>
      </c>
      <c r="D29" t="s">
        <v>130</v>
      </c>
      <c r="E29" t="s">
        <v>131</v>
      </c>
      <c r="F29" t="s">
        <v>51</v>
      </c>
      <c r="G29" t="s">
        <v>52</v>
      </c>
      <c r="H29" t="s">
        <v>52</v>
      </c>
      <c r="I29">
        <v>2.10722579999128</v>
      </c>
      <c r="J29" t="s">
        <v>54</v>
      </c>
      <c r="K29">
        <v>26</v>
      </c>
      <c r="L29">
        <v>0</v>
      </c>
      <c r="M29">
        <v>26</v>
      </c>
      <c r="N29">
        <v>0</v>
      </c>
      <c r="O29">
        <v>53.043330699991202</v>
      </c>
      <c r="T29">
        <v>5</v>
      </c>
      <c r="U29">
        <v>53.0326358000165</v>
      </c>
      <c r="V29">
        <v>53.043330699991202</v>
      </c>
      <c r="W29">
        <v>53.043330699991202</v>
      </c>
      <c r="X29">
        <v>2.5506999983917901E-2</v>
      </c>
      <c r="Y29">
        <v>55.139984900015399</v>
      </c>
      <c r="Z29" t="s">
        <v>130</v>
      </c>
      <c r="AA29" t="s">
        <v>131</v>
      </c>
      <c r="AB29" t="s">
        <v>51</v>
      </c>
      <c r="AC29" t="s">
        <v>52</v>
      </c>
      <c r="AD29" t="s">
        <v>52</v>
      </c>
      <c r="AE29" t="s">
        <v>132</v>
      </c>
      <c r="AF29" t="s">
        <v>54</v>
      </c>
      <c r="AK29" t="s">
        <v>44</v>
      </c>
      <c r="AL29">
        <v>1</v>
      </c>
      <c r="AM29" t="s">
        <v>45</v>
      </c>
      <c r="AN29" t="s">
        <v>46</v>
      </c>
      <c r="AP29" t="s">
        <v>47</v>
      </c>
      <c r="AQ29">
        <v>60.044012257098402</v>
      </c>
      <c r="AR29" t="s">
        <v>48</v>
      </c>
    </row>
    <row r="30" spans="1:44" x14ac:dyDescent="0.35">
      <c r="A30">
        <v>27</v>
      </c>
      <c r="B30">
        <v>0</v>
      </c>
      <c r="C30">
        <v>27</v>
      </c>
      <c r="D30" t="s">
        <v>133</v>
      </c>
      <c r="E30" t="s">
        <v>134</v>
      </c>
      <c r="F30" t="s">
        <v>51</v>
      </c>
      <c r="G30" t="s">
        <v>52</v>
      </c>
      <c r="H30" t="s">
        <v>52</v>
      </c>
      <c r="I30">
        <v>2.1926026000001002</v>
      </c>
      <c r="J30" t="s">
        <v>54</v>
      </c>
      <c r="K30">
        <v>27</v>
      </c>
      <c r="L30">
        <v>0</v>
      </c>
      <c r="M30">
        <v>27</v>
      </c>
      <c r="N30">
        <v>0</v>
      </c>
      <c r="O30">
        <v>55.175638599990599</v>
      </c>
      <c r="T30">
        <v>5</v>
      </c>
      <c r="U30">
        <v>55.164308800012797</v>
      </c>
      <c r="V30">
        <v>55.175638599990599</v>
      </c>
      <c r="W30">
        <v>55.175638599990599</v>
      </c>
      <c r="X30">
        <v>2.4061200005235098E-2</v>
      </c>
      <c r="Y30">
        <v>57.357063700008403</v>
      </c>
      <c r="Z30" t="s">
        <v>133</v>
      </c>
      <c r="AA30" t="s">
        <v>134</v>
      </c>
      <c r="AB30" t="s">
        <v>51</v>
      </c>
      <c r="AC30" t="s">
        <v>52</v>
      </c>
      <c r="AD30" t="s">
        <v>52</v>
      </c>
      <c r="AE30" t="s">
        <v>135</v>
      </c>
      <c r="AF30" t="s">
        <v>54</v>
      </c>
      <c r="AK30" t="s">
        <v>44</v>
      </c>
      <c r="AL30">
        <v>1</v>
      </c>
      <c r="AM30" t="s">
        <v>45</v>
      </c>
      <c r="AN30" t="s">
        <v>46</v>
      </c>
      <c r="AP30" t="s">
        <v>47</v>
      </c>
      <c r="AQ30">
        <v>60.044012257098402</v>
      </c>
      <c r="AR30" t="s">
        <v>48</v>
      </c>
    </row>
    <row r="31" spans="1:44" x14ac:dyDescent="0.35">
      <c r="A31">
        <v>28</v>
      </c>
      <c r="B31">
        <v>0</v>
      </c>
      <c r="C31">
        <v>28</v>
      </c>
      <c r="D31" t="s">
        <v>136</v>
      </c>
      <c r="E31" t="s">
        <v>137</v>
      </c>
      <c r="F31" t="s">
        <v>51</v>
      </c>
      <c r="G31" t="s">
        <v>52</v>
      </c>
      <c r="H31" t="s">
        <v>52</v>
      </c>
      <c r="I31">
        <v>2.59366879999288</v>
      </c>
      <c r="J31" t="s">
        <v>54</v>
      </c>
      <c r="K31">
        <v>28</v>
      </c>
      <c r="L31">
        <v>0</v>
      </c>
      <c r="M31">
        <v>28</v>
      </c>
      <c r="N31">
        <v>0</v>
      </c>
      <c r="O31">
        <v>57.390286100009597</v>
      </c>
      <c r="T31">
        <v>5</v>
      </c>
      <c r="U31">
        <v>57.379738999996299</v>
      </c>
      <c r="V31">
        <v>57.390286100009597</v>
      </c>
      <c r="W31">
        <v>57.390286100009597</v>
      </c>
      <c r="X31">
        <v>2.24094000004697E-2</v>
      </c>
      <c r="Y31">
        <v>59.973545300017499</v>
      </c>
      <c r="Z31" t="s">
        <v>136</v>
      </c>
      <c r="AA31" t="s">
        <v>137</v>
      </c>
      <c r="AB31" t="s">
        <v>51</v>
      </c>
      <c r="AC31" t="s">
        <v>52</v>
      </c>
      <c r="AD31" t="s">
        <v>52</v>
      </c>
      <c r="AE31" t="s">
        <v>138</v>
      </c>
      <c r="AF31" t="s">
        <v>54</v>
      </c>
      <c r="AK31" t="s">
        <v>44</v>
      </c>
      <c r="AL31">
        <v>1</v>
      </c>
      <c r="AM31" t="s">
        <v>45</v>
      </c>
      <c r="AN31" t="s">
        <v>46</v>
      </c>
      <c r="AP31" t="s">
        <v>47</v>
      </c>
      <c r="AQ31">
        <v>60.044012257098402</v>
      </c>
      <c r="AR31" t="s">
        <v>48</v>
      </c>
    </row>
    <row r="32" spans="1:44" x14ac:dyDescent="0.35">
      <c r="A32">
        <v>29</v>
      </c>
      <c r="B32">
        <v>0</v>
      </c>
      <c r="C32">
        <v>29</v>
      </c>
      <c r="D32" t="s">
        <v>139</v>
      </c>
      <c r="E32" t="s">
        <v>140</v>
      </c>
      <c r="F32" t="s">
        <v>51</v>
      </c>
      <c r="G32" t="s">
        <v>52</v>
      </c>
      <c r="H32" t="s">
        <v>52</v>
      </c>
      <c r="I32">
        <v>2.97228690001065</v>
      </c>
      <c r="J32" t="s">
        <v>54</v>
      </c>
      <c r="K32">
        <v>29</v>
      </c>
      <c r="L32">
        <v>0</v>
      </c>
      <c r="M32">
        <v>29</v>
      </c>
      <c r="N32">
        <v>0</v>
      </c>
      <c r="O32">
        <v>60.035511699999901</v>
      </c>
      <c r="T32">
        <v>10</v>
      </c>
      <c r="U32">
        <v>60.017104800004702</v>
      </c>
      <c r="V32">
        <v>60.035511699999901</v>
      </c>
      <c r="W32">
        <v>60.035511699999901</v>
      </c>
      <c r="X32">
        <v>4.3317300005583002E-2</v>
      </c>
      <c r="Y32">
        <v>62.989497500006102</v>
      </c>
      <c r="Z32" t="s">
        <v>139</v>
      </c>
      <c r="AA32" t="s">
        <v>140</v>
      </c>
      <c r="AB32" t="s">
        <v>51</v>
      </c>
      <c r="AC32" t="s">
        <v>52</v>
      </c>
      <c r="AD32" t="s">
        <v>52</v>
      </c>
      <c r="AE32" t="s">
        <v>141</v>
      </c>
      <c r="AF32" t="s">
        <v>54</v>
      </c>
      <c r="AK32" t="s">
        <v>44</v>
      </c>
      <c r="AL32">
        <v>1</v>
      </c>
      <c r="AM32" t="s">
        <v>45</v>
      </c>
      <c r="AN32" t="s">
        <v>46</v>
      </c>
      <c r="AP32" t="s">
        <v>47</v>
      </c>
      <c r="AQ32">
        <v>60.044012257098402</v>
      </c>
      <c r="AR32" t="s">
        <v>48</v>
      </c>
    </row>
    <row r="33" spans="1:44" x14ac:dyDescent="0.35">
      <c r="A33">
        <v>30</v>
      </c>
      <c r="B33">
        <v>0</v>
      </c>
      <c r="C33">
        <v>30</v>
      </c>
      <c r="D33" t="s">
        <v>142</v>
      </c>
      <c r="E33" t="s">
        <v>143</v>
      </c>
      <c r="F33" t="s">
        <v>51</v>
      </c>
      <c r="G33" t="s">
        <v>52</v>
      </c>
      <c r="H33" t="s">
        <v>52</v>
      </c>
      <c r="I33">
        <v>1.44301049999194</v>
      </c>
      <c r="J33" t="s">
        <v>54</v>
      </c>
      <c r="K33">
        <v>30</v>
      </c>
      <c r="L33">
        <v>0</v>
      </c>
      <c r="M33">
        <v>30</v>
      </c>
      <c r="N33">
        <v>0</v>
      </c>
      <c r="O33">
        <v>63.023368800000704</v>
      </c>
      <c r="T33">
        <v>5</v>
      </c>
      <c r="U33">
        <v>63.011950599990001</v>
      </c>
      <c r="V33">
        <v>63.023368800000704</v>
      </c>
      <c r="W33">
        <v>63.023368800000704</v>
      </c>
      <c r="X33">
        <v>2.2232699993764898E-2</v>
      </c>
      <c r="Y33">
        <v>64.455070199997806</v>
      </c>
      <c r="Z33" t="s">
        <v>142</v>
      </c>
      <c r="AA33" t="s">
        <v>143</v>
      </c>
      <c r="AB33" t="s">
        <v>51</v>
      </c>
      <c r="AC33" t="s">
        <v>52</v>
      </c>
      <c r="AD33" t="s">
        <v>52</v>
      </c>
      <c r="AE33" t="s">
        <v>144</v>
      </c>
      <c r="AF33" t="s">
        <v>54</v>
      </c>
      <c r="AK33" t="s">
        <v>44</v>
      </c>
      <c r="AL33">
        <v>1</v>
      </c>
      <c r="AM33" t="s">
        <v>45</v>
      </c>
      <c r="AN33" t="s">
        <v>46</v>
      </c>
      <c r="AP33" t="s">
        <v>47</v>
      </c>
      <c r="AQ33">
        <v>60.044012257098402</v>
      </c>
      <c r="AR33" t="s">
        <v>48</v>
      </c>
    </row>
    <row r="34" spans="1:44" x14ac:dyDescent="0.35">
      <c r="A34">
        <v>31</v>
      </c>
      <c r="B34">
        <v>0</v>
      </c>
      <c r="C34">
        <v>31</v>
      </c>
      <c r="D34" t="s">
        <v>145</v>
      </c>
      <c r="E34" t="s">
        <v>146</v>
      </c>
      <c r="F34" t="s">
        <v>51</v>
      </c>
      <c r="G34" t="s">
        <v>52</v>
      </c>
      <c r="H34" t="s">
        <v>52</v>
      </c>
      <c r="I34">
        <v>1.5086230000015299</v>
      </c>
      <c r="J34" t="s">
        <v>54</v>
      </c>
      <c r="K34">
        <v>31</v>
      </c>
      <c r="L34">
        <v>0</v>
      </c>
      <c r="M34">
        <v>31</v>
      </c>
      <c r="N34">
        <v>0</v>
      </c>
      <c r="O34">
        <v>64.494557199999605</v>
      </c>
      <c r="T34">
        <v>5</v>
      </c>
      <c r="U34">
        <v>64.480603900010394</v>
      </c>
      <c r="V34">
        <v>64.494557199999605</v>
      </c>
      <c r="W34">
        <v>64.494557199999605</v>
      </c>
      <c r="X34">
        <v>2.5356600002851299E-2</v>
      </c>
      <c r="Y34">
        <v>65.989371500007096</v>
      </c>
      <c r="Z34" t="s">
        <v>145</v>
      </c>
      <c r="AA34" t="s">
        <v>146</v>
      </c>
      <c r="AB34" t="s">
        <v>51</v>
      </c>
      <c r="AC34" t="s">
        <v>52</v>
      </c>
      <c r="AD34" t="s">
        <v>52</v>
      </c>
      <c r="AE34" t="s">
        <v>147</v>
      </c>
      <c r="AF34" t="s">
        <v>54</v>
      </c>
      <c r="AK34" t="s">
        <v>44</v>
      </c>
      <c r="AL34">
        <v>1</v>
      </c>
      <c r="AM34" t="s">
        <v>45</v>
      </c>
      <c r="AN34" t="s">
        <v>46</v>
      </c>
      <c r="AP34" t="s">
        <v>47</v>
      </c>
      <c r="AQ34">
        <v>60.044012257098402</v>
      </c>
      <c r="AR34" t="s">
        <v>48</v>
      </c>
    </row>
    <row r="35" spans="1:44" x14ac:dyDescent="0.35">
      <c r="A35">
        <v>32</v>
      </c>
      <c r="B35">
        <v>0</v>
      </c>
      <c r="C35">
        <v>32</v>
      </c>
      <c r="D35" t="s">
        <v>148</v>
      </c>
      <c r="E35" t="s">
        <v>149</v>
      </c>
      <c r="F35" t="s">
        <v>51</v>
      </c>
      <c r="G35" t="s">
        <v>52</v>
      </c>
      <c r="H35" t="s">
        <v>52</v>
      </c>
      <c r="I35">
        <v>2.0546909999975398</v>
      </c>
      <c r="J35" t="s">
        <v>54</v>
      </c>
      <c r="K35">
        <v>32</v>
      </c>
      <c r="L35">
        <v>0</v>
      </c>
      <c r="M35">
        <v>32</v>
      </c>
      <c r="N35">
        <v>0</v>
      </c>
      <c r="O35">
        <v>66.028044800012097</v>
      </c>
      <c r="T35">
        <v>5</v>
      </c>
      <c r="U35">
        <v>66.015978800016399</v>
      </c>
      <c r="V35">
        <v>66.028044800012097</v>
      </c>
      <c r="W35">
        <v>66.028044800012097</v>
      </c>
      <c r="X35">
        <v>2.6292199996532799E-2</v>
      </c>
      <c r="Y35">
        <v>68.070783000002805</v>
      </c>
      <c r="Z35" t="s">
        <v>148</v>
      </c>
      <c r="AA35" t="s">
        <v>149</v>
      </c>
      <c r="AB35" t="s">
        <v>51</v>
      </c>
      <c r="AC35" t="s">
        <v>52</v>
      </c>
      <c r="AD35" t="s">
        <v>52</v>
      </c>
      <c r="AE35" t="s">
        <v>150</v>
      </c>
      <c r="AF35" t="s">
        <v>54</v>
      </c>
      <c r="AK35" t="s">
        <v>44</v>
      </c>
      <c r="AL35">
        <v>1</v>
      </c>
      <c r="AM35" t="s">
        <v>45</v>
      </c>
      <c r="AN35" t="s">
        <v>46</v>
      </c>
      <c r="AP35" t="s">
        <v>47</v>
      </c>
      <c r="AQ35">
        <v>60.044012257098402</v>
      </c>
      <c r="AR35" t="s">
        <v>48</v>
      </c>
    </row>
    <row r="36" spans="1:44" x14ac:dyDescent="0.35">
      <c r="A36">
        <v>33</v>
      </c>
      <c r="B36">
        <v>0</v>
      </c>
      <c r="C36">
        <v>33</v>
      </c>
      <c r="D36" t="s">
        <v>151</v>
      </c>
      <c r="E36" t="s">
        <v>152</v>
      </c>
      <c r="F36" t="s">
        <v>51</v>
      </c>
      <c r="G36" t="s">
        <v>52</v>
      </c>
      <c r="H36" t="s">
        <v>52</v>
      </c>
      <c r="I36">
        <v>2.0589274000085398</v>
      </c>
      <c r="J36" t="s">
        <v>54</v>
      </c>
      <c r="K36">
        <v>33</v>
      </c>
      <c r="L36">
        <v>0</v>
      </c>
      <c r="M36">
        <v>33</v>
      </c>
      <c r="N36">
        <v>0</v>
      </c>
      <c r="O36">
        <v>68.131193700013597</v>
      </c>
      <c r="T36">
        <v>10</v>
      </c>
      <c r="U36">
        <v>68.113379499991396</v>
      </c>
      <c r="V36">
        <v>68.131193700013597</v>
      </c>
      <c r="W36">
        <v>68.131193700013597</v>
      </c>
      <c r="X36">
        <v>4.2385799984913299E-2</v>
      </c>
      <c r="Y36">
        <v>70.172485799994305</v>
      </c>
      <c r="Z36" t="s">
        <v>151</v>
      </c>
      <c r="AA36" t="s">
        <v>152</v>
      </c>
      <c r="AB36" t="s">
        <v>51</v>
      </c>
      <c r="AC36" t="s">
        <v>52</v>
      </c>
      <c r="AD36" t="s">
        <v>52</v>
      </c>
      <c r="AE36" t="s">
        <v>153</v>
      </c>
      <c r="AF36" t="s">
        <v>54</v>
      </c>
      <c r="AK36" t="s">
        <v>44</v>
      </c>
      <c r="AL36">
        <v>1</v>
      </c>
      <c r="AM36" t="s">
        <v>45</v>
      </c>
      <c r="AN36" t="s">
        <v>46</v>
      </c>
      <c r="AP36" t="s">
        <v>47</v>
      </c>
      <c r="AQ36">
        <v>60.044012257098402</v>
      </c>
      <c r="AR36" t="s">
        <v>48</v>
      </c>
    </row>
    <row r="37" spans="1:44" x14ac:dyDescent="0.35">
      <c r="A37">
        <v>34</v>
      </c>
      <c r="B37">
        <v>0</v>
      </c>
      <c r="C37">
        <v>34</v>
      </c>
      <c r="D37" t="s">
        <v>154</v>
      </c>
      <c r="E37" t="s">
        <v>155</v>
      </c>
      <c r="F37" t="s">
        <v>51</v>
      </c>
      <c r="G37" t="s">
        <v>52</v>
      </c>
      <c r="H37" t="s">
        <v>52</v>
      </c>
      <c r="I37">
        <v>1.5209204000129799</v>
      </c>
      <c r="J37" t="s">
        <v>54</v>
      </c>
      <c r="K37">
        <v>34</v>
      </c>
      <c r="L37">
        <v>0</v>
      </c>
      <c r="M37">
        <v>34</v>
      </c>
      <c r="N37">
        <v>0</v>
      </c>
      <c r="O37">
        <v>70.217201999999801</v>
      </c>
      <c r="T37">
        <v>5</v>
      </c>
      <c r="U37">
        <v>70.202173099998603</v>
      </c>
      <c r="V37">
        <v>70.217201999999801</v>
      </c>
      <c r="W37">
        <v>70.217201999999801</v>
      </c>
      <c r="X37">
        <v>2.9378499981248699E-2</v>
      </c>
      <c r="Y37">
        <v>71.723193600017098</v>
      </c>
      <c r="Z37" t="s">
        <v>154</v>
      </c>
      <c r="AA37" t="s">
        <v>155</v>
      </c>
      <c r="AB37" t="s">
        <v>51</v>
      </c>
      <c r="AC37" t="s">
        <v>52</v>
      </c>
      <c r="AD37" t="s">
        <v>52</v>
      </c>
      <c r="AE37" t="s">
        <v>156</v>
      </c>
      <c r="AF37" t="s">
        <v>54</v>
      </c>
      <c r="AK37" t="s">
        <v>44</v>
      </c>
      <c r="AL37">
        <v>1</v>
      </c>
      <c r="AM37" t="s">
        <v>45</v>
      </c>
      <c r="AN37" t="s">
        <v>46</v>
      </c>
      <c r="AP37" t="s">
        <v>47</v>
      </c>
      <c r="AQ37">
        <v>60.044012257098402</v>
      </c>
      <c r="AR37" t="s">
        <v>48</v>
      </c>
    </row>
    <row r="38" spans="1:44" x14ac:dyDescent="0.35">
      <c r="A38">
        <v>35</v>
      </c>
      <c r="B38">
        <v>0</v>
      </c>
      <c r="C38">
        <v>35</v>
      </c>
      <c r="D38" t="s">
        <v>94</v>
      </c>
      <c r="E38" t="s">
        <v>157</v>
      </c>
      <c r="F38" t="s">
        <v>51</v>
      </c>
      <c r="G38" t="s">
        <v>52</v>
      </c>
      <c r="H38" t="s">
        <v>52</v>
      </c>
      <c r="I38">
        <v>1.63814730002195</v>
      </c>
      <c r="J38" t="s">
        <v>54</v>
      </c>
      <c r="K38">
        <v>35</v>
      </c>
      <c r="L38">
        <v>0</v>
      </c>
      <c r="M38">
        <v>35</v>
      </c>
      <c r="N38">
        <v>0</v>
      </c>
      <c r="O38">
        <v>71.764665599999702</v>
      </c>
      <c r="T38">
        <v>5</v>
      </c>
      <c r="U38">
        <v>71.750480999995403</v>
      </c>
      <c r="V38">
        <v>71.764665599999702</v>
      </c>
      <c r="W38">
        <v>71.764665599999702</v>
      </c>
      <c r="X38">
        <v>2.7059600019128899E-2</v>
      </c>
      <c r="Y38">
        <v>73.388728499994599</v>
      </c>
      <c r="Z38" t="s">
        <v>94</v>
      </c>
      <c r="AA38" t="s">
        <v>157</v>
      </c>
      <c r="AB38" t="s">
        <v>51</v>
      </c>
      <c r="AC38" t="s">
        <v>52</v>
      </c>
      <c r="AD38" t="s">
        <v>52</v>
      </c>
      <c r="AE38" t="s">
        <v>158</v>
      </c>
      <c r="AF38" t="s">
        <v>54</v>
      </c>
      <c r="AK38" t="s">
        <v>44</v>
      </c>
      <c r="AL38">
        <v>1</v>
      </c>
      <c r="AM38" t="s">
        <v>45</v>
      </c>
      <c r="AN38" t="s">
        <v>46</v>
      </c>
      <c r="AP38" t="s">
        <v>47</v>
      </c>
      <c r="AQ38">
        <v>60.044012257098402</v>
      </c>
      <c r="AR38" t="s">
        <v>48</v>
      </c>
    </row>
    <row r="39" spans="1:44" x14ac:dyDescent="0.35">
      <c r="A39">
        <v>36</v>
      </c>
      <c r="B39">
        <v>0</v>
      </c>
      <c r="C39">
        <v>36</v>
      </c>
      <c r="D39" t="s">
        <v>159</v>
      </c>
      <c r="E39" t="s">
        <v>160</v>
      </c>
      <c r="F39" t="s">
        <v>51</v>
      </c>
      <c r="G39" t="s">
        <v>52</v>
      </c>
      <c r="H39" t="s">
        <v>52</v>
      </c>
      <c r="I39">
        <v>2.7927378000167602</v>
      </c>
      <c r="J39" t="s">
        <v>54</v>
      </c>
      <c r="K39">
        <v>36</v>
      </c>
      <c r="L39">
        <v>0</v>
      </c>
      <c r="M39">
        <v>36</v>
      </c>
      <c r="N39">
        <v>0</v>
      </c>
      <c r="O39">
        <v>73.427020300005097</v>
      </c>
      <c r="T39">
        <v>5</v>
      </c>
      <c r="U39">
        <v>73.413774899992802</v>
      </c>
      <c r="V39">
        <v>73.427020300005097</v>
      </c>
      <c r="W39">
        <v>73.427020300005097</v>
      </c>
      <c r="X39">
        <v>2.4862300022505199E-2</v>
      </c>
      <c r="Y39">
        <v>76.206631600012699</v>
      </c>
      <c r="Z39" t="s">
        <v>159</v>
      </c>
      <c r="AA39" t="s">
        <v>160</v>
      </c>
      <c r="AB39" t="s">
        <v>51</v>
      </c>
      <c r="AC39" t="s">
        <v>52</v>
      </c>
      <c r="AD39" t="s">
        <v>52</v>
      </c>
      <c r="AE39" t="s">
        <v>161</v>
      </c>
      <c r="AF39" t="s">
        <v>54</v>
      </c>
      <c r="AK39" t="s">
        <v>44</v>
      </c>
      <c r="AL39">
        <v>1</v>
      </c>
      <c r="AM39" t="s">
        <v>45</v>
      </c>
      <c r="AN39" t="s">
        <v>46</v>
      </c>
      <c r="AP39" t="s">
        <v>47</v>
      </c>
      <c r="AQ39">
        <v>60.044012257098402</v>
      </c>
      <c r="AR39" t="s">
        <v>48</v>
      </c>
    </row>
    <row r="40" spans="1:44" x14ac:dyDescent="0.35">
      <c r="A40">
        <v>37</v>
      </c>
      <c r="B40">
        <v>0</v>
      </c>
      <c r="C40">
        <v>37</v>
      </c>
      <c r="D40" t="s">
        <v>162</v>
      </c>
      <c r="E40" t="s">
        <v>163</v>
      </c>
      <c r="F40" t="s">
        <v>51</v>
      </c>
      <c r="G40" t="s">
        <v>52</v>
      </c>
      <c r="H40" t="s">
        <v>52</v>
      </c>
      <c r="I40">
        <v>1.8911665000196001</v>
      </c>
      <c r="J40" t="s">
        <v>54</v>
      </c>
      <c r="K40">
        <v>37</v>
      </c>
      <c r="L40">
        <v>0</v>
      </c>
      <c r="M40">
        <v>37</v>
      </c>
      <c r="N40">
        <v>0</v>
      </c>
      <c r="O40">
        <v>76.241686399996894</v>
      </c>
      <c r="T40">
        <v>5</v>
      </c>
      <c r="U40">
        <v>76.231513400009106</v>
      </c>
      <c r="V40">
        <v>76.241686399996894</v>
      </c>
      <c r="W40">
        <v>76.241686399996894</v>
      </c>
      <c r="X40">
        <v>2.46730000071693E-2</v>
      </c>
      <c r="Y40">
        <v>78.122781600017305</v>
      </c>
      <c r="Z40" t="s">
        <v>162</v>
      </c>
      <c r="AA40" t="s">
        <v>163</v>
      </c>
      <c r="AB40" t="s">
        <v>51</v>
      </c>
      <c r="AC40" t="s">
        <v>52</v>
      </c>
      <c r="AD40" t="s">
        <v>52</v>
      </c>
      <c r="AE40" t="s">
        <v>164</v>
      </c>
      <c r="AF40" t="s">
        <v>54</v>
      </c>
      <c r="AK40" t="s">
        <v>44</v>
      </c>
      <c r="AL40">
        <v>1</v>
      </c>
      <c r="AM40" t="s">
        <v>45</v>
      </c>
      <c r="AN40" t="s">
        <v>46</v>
      </c>
      <c r="AP40" t="s">
        <v>47</v>
      </c>
      <c r="AQ40">
        <v>60.044012257098402</v>
      </c>
      <c r="AR40" t="s">
        <v>48</v>
      </c>
    </row>
    <row r="41" spans="1:44" x14ac:dyDescent="0.35">
      <c r="A41">
        <v>38</v>
      </c>
      <c r="B41">
        <v>0</v>
      </c>
      <c r="C41">
        <v>38</v>
      </c>
      <c r="D41" t="s">
        <v>109</v>
      </c>
      <c r="E41" t="s">
        <v>165</v>
      </c>
      <c r="F41" t="s">
        <v>51</v>
      </c>
      <c r="G41" t="s">
        <v>52</v>
      </c>
      <c r="H41" t="s">
        <v>52</v>
      </c>
      <c r="I41">
        <v>1.84312939998926</v>
      </c>
      <c r="J41" t="s">
        <v>54</v>
      </c>
      <c r="K41">
        <v>38</v>
      </c>
      <c r="L41">
        <v>0</v>
      </c>
      <c r="M41">
        <v>38</v>
      </c>
      <c r="N41">
        <v>0</v>
      </c>
      <c r="O41">
        <v>78.157896999997305</v>
      </c>
      <c r="T41">
        <v>5</v>
      </c>
      <c r="U41">
        <v>78.145205000007905</v>
      </c>
      <c r="V41">
        <v>78.157896999997305</v>
      </c>
      <c r="W41">
        <v>78.157896999997305</v>
      </c>
      <c r="X41">
        <v>2.2243899991735799E-2</v>
      </c>
      <c r="Y41">
        <v>79.988442500005405</v>
      </c>
      <c r="Z41" t="s">
        <v>109</v>
      </c>
      <c r="AA41" t="s">
        <v>165</v>
      </c>
      <c r="AB41" t="s">
        <v>51</v>
      </c>
      <c r="AC41" t="s">
        <v>52</v>
      </c>
      <c r="AD41" t="s">
        <v>52</v>
      </c>
      <c r="AE41" t="s">
        <v>166</v>
      </c>
      <c r="AF41" t="s">
        <v>54</v>
      </c>
      <c r="AK41" t="s">
        <v>44</v>
      </c>
      <c r="AL41">
        <v>1</v>
      </c>
      <c r="AM41" t="s">
        <v>45</v>
      </c>
      <c r="AN41" t="s">
        <v>46</v>
      </c>
      <c r="AP41" t="s">
        <v>47</v>
      </c>
      <c r="AQ41">
        <v>60.044012257098402</v>
      </c>
      <c r="AR41" t="s">
        <v>48</v>
      </c>
    </row>
    <row r="42" spans="1:44" x14ac:dyDescent="0.35">
      <c r="A42">
        <v>39</v>
      </c>
      <c r="B42">
        <v>0</v>
      </c>
      <c r="C42">
        <v>39</v>
      </c>
      <c r="D42" t="s">
        <v>167</v>
      </c>
      <c r="E42" t="s">
        <v>168</v>
      </c>
      <c r="F42" t="s">
        <v>51</v>
      </c>
      <c r="G42" t="s">
        <v>52</v>
      </c>
      <c r="H42" t="s">
        <v>52</v>
      </c>
      <c r="I42">
        <v>2.34222309998585</v>
      </c>
      <c r="J42" t="s">
        <v>54</v>
      </c>
      <c r="K42">
        <v>39</v>
      </c>
      <c r="L42">
        <v>0</v>
      </c>
      <c r="M42">
        <v>39</v>
      </c>
      <c r="N42">
        <v>0</v>
      </c>
      <c r="O42">
        <v>80.054121900000595</v>
      </c>
      <c r="T42">
        <v>10</v>
      </c>
      <c r="U42">
        <v>80.031447299988898</v>
      </c>
      <c r="V42">
        <v>80.054121900000595</v>
      </c>
      <c r="W42">
        <v>80.054121900000595</v>
      </c>
      <c r="X42">
        <v>4.28221000183839E-2</v>
      </c>
      <c r="Y42">
        <v>82.373855600017095</v>
      </c>
      <c r="Z42" t="s">
        <v>167</v>
      </c>
      <c r="AA42" t="s">
        <v>168</v>
      </c>
      <c r="AB42" t="s">
        <v>51</v>
      </c>
      <c r="AC42" t="s">
        <v>52</v>
      </c>
      <c r="AD42" t="s">
        <v>52</v>
      </c>
      <c r="AE42" t="s">
        <v>169</v>
      </c>
      <c r="AF42" t="s">
        <v>54</v>
      </c>
      <c r="AK42" t="s">
        <v>44</v>
      </c>
      <c r="AL42">
        <v>1</v>
      </c>
      <c r="AM42" t="s">
        <v>45</v>
      </c>
      <c r="AN42" t="s">
        <v>46</v>
      </c>
      <c r="AP42" t="s">
        <v>47</v>
      </c>
      <c r="AQ42">
        <v>60.044012257098402</v>
      </c>
      <c r="AR42" t="s">
        <v>48</v>
      </c>
    </row>
    <row r="43" spans="1:44" x14ac:dyDescent="0.35">
      <c r="A43">
        <v>40</v>
      </c>
      <c r="B43">
        <v>0</v>
      </c>
      <c r="C43">
        <v>40</v>
      </c>
      <c r="D43" t="s">
        <v>170</v>
      </c>
      <c r="E43" t="s">
        <v>171</v>
      </c>
      <c r="F43" t="s">
        <v>51</v>
      </c>
      <c r="G43" t="s">
        <v>52</v>
      </c>
      <c r="H43" t="s">
        <v>52</v>
      </c>
      <c r="I43">
        <v>1.8162101000198101</v>
      </c>
      <c r="J43" t="s">
        <v>54</v>
      </c>
      <c r="K43">
        <v>40</v>
      </c>
      <c r="L43">
        <v>0</v>
      </c>
      <c r="M43">
        <v>40</v>
      </c>
      <c r="N43">
        <v>0</v>
      </c>
      <c r="O43">
        <v>82.445787100004907</v>
      </c>
      <c r="T43">
        <v>10</v>
      </c>
      <c r="U43">
        <v>82.423920000001004</v>
      </c>
      <c r="V43">
        <v>82.445787100004907</v>
      </c>
      <c r="W43">
        <v>82.445787100004907</v>
      </c>
      <c r="X43">
        <v>4.9647800013190101E-2</v>
      </c>
      <c r="Y43">
        <v>84.240275199990705</v>
      </c>
      <c r="Z43" t="s">
        <v>170</v>
      </c>
      <c r="AA43" t="s">
        <v>171</v>
      </c>
      <c r="AB43" t="s">
        <v>51</v>
      </c>
      <c r="AC43" t="s">
        <v>52</v>
      </c>
      <c r="AD43" t="s">
        <v>52</v>
      </c>
      <c r="AE43" t="s">
        <v>172</v>
      </c>
      <c r="AF43" t="s">
        <v>54</v>
      </c>
      <c r="AK43" t="s">
        <v>44</v>
      </c>
      <c r="AL43">
        <v>1</v>
      </c>
      <c r="AM43" t="s">
        <v>45</v>
      </c>
      <c r="AN43" t="s">
        <v>46</v>
      </c>
      <c r="AP43" t="s">
        <v>47</v>
      </c>
      <c r="AQ43">
        <v>60.044012257098402</v>
      </c>
      <c r="AR43" t="s">
        <v>48</v>
      </c>
    </row>
    <row r="44" spans="1:44" x14ac:dyDescent="0.35">
      <c r="A44">
        <v>41</v>
      </c>
      <c r="B44">
        <v>0</v>
      </c>
      <c r="C44">
        <v>41</v>
      </c>
      <c r="D44" t="s">
        <v>173</v>
      </c>
      <c r="E44" t="s">
        <v>174</v>
      </c>
      <c r="F44" t="s">
        <v>51</v>
      </c>
      <c r="G44" t="s">
        <v>52</v>
      </c>
      <c r="H44" t="s">
        <v>52</v>
      </c>
      <c r="I44">
        <v>2.5385352000012</v>
      </c>
      <c r="J44" t="s">
        <v>54</v>
      </c>
      <c r="K44">
        <v>41</v>
      </c>
      <c r="L44">
        <v>0</v>
      </c>
      <c r="M44">
        <v>41</v>
      </c>
      <c r="N44">
        <v>0</v>
      </c>
      <c r="O44">
        <v>84.282017499994197</v>
      </c>
      <c r="T44">
        <v>5</v>
      </c>
      <c r="U44">
        <v>84.269023700006002</v>
      </c>
      <c r="V44">
        <v>84.282017499994197</v>
      </c>
      <c r="W44">
        <v>84.282017499994197</v>
      </c>
      <c r="X44">
        <v>2.8373300010571201E-2</v>
      </c>
      <c r="Y44">
        <v>86.807771299994698</v>
      </c>
      <c r="Z44" t="s">
        <v>173</v>
      </c>
      <c r="AA44" t="s">
        <v>174</v>
      </c>
      <c r="AB44" t="s">
        <v>51</v>
      </c>
      <c r="AC44" t="s">
        <v>52</v>
      </c>
      <c r="AD44" t="s">
        <v>52</v>
      </c>
      <c r="AE44" t="s">
        <v>175</v>
      </c>
      <c r="AF44" t="s">
        <v>54</v>
      </c>
      <c r="AK44" t="s">
        <v>44</v>
      </c>
      <c r="AL44">
        <v>1</v>
      </c>
      <c r="AM44" t="s">
        <v>45</v>
      </c>
      <c r="AN44" t="s">
        <v>46</v>
      </c>
      <c r="AP44" t="s">
        <v>47</v>
      </c>
      <c r="AQ44">
        <v>60.044012257098402</v>
      </c>
      <c r="AR44" t="s">
        <v>48</v>
      </c>
    </row>
    <row r="45" spans="1:44" x14ac:dyDescent="0.35">
      <c r="A45">
        <v>42</v>
      </c>
      <c r="B45">
        <v>0</v>
      </c>
      <c r="C45">
        <v>42</v>
      </c>
      <c r="D45" t="s">
        <v>176</v>
      </c>
      <c r="E45" t="s">
        <v>177</v>
      </c>
      <c r="F45" t="s">
        <v>51</v>
      </c>
      <c r="G45" t="s">
        <v>52</v>
      </c>
      <c r="H45" t="s">
        <v>52</v>
      </c>
      <c r="I45">
        <v>2.5910246999992501</v>
      </c>
      <c r="J45" t="s">
        <v>54</v>
      </c>
      <c r="K45">
        <v>42</v>
      </c>
      <c r="L45">
        <v>0</v>
      </c>
      <c r="M45">
        <v>42</v>
      </c>
      <c r="N45">
        <v>0</v>
      </c>
      <c r="O45">
        <v>86.884757199993999</v>
      </c>
      <c r="T45">
        <v>10</v>
      </c>
      <c r="U45">
        <v>86.864743000012794</v>
      </c>
      <c r="V45">
        <v>86.884757199993999</v>
      </c>
      <c r="W45">
        <v>86.884757199993999</v>
      </c>
      <c r="X45">
        <v>5.6606400001328397E-2</v>
      </c>
      <c r="Y45">
        <v>89.455933099990901</v>
      </c>
      <c r="Z45" t="s">
        <v>176</v>
      </c>
      <c r="AA45" t="s">
        <v>177</v>
      </c>
      <c r="AB45" t="s">
        <v>51</v>
      </c>
      <c r="AC45" t="s">
        <v>52</v>
      </c>
      <c r="AD45" t="s">
        <v>52</v>
      </c>
      <c r="AE45" t="s">
        <v>178</v>
      </c>
      <c r="AF45" t="s">
        <v>54</v>
      </c>
      <c r="AK45" t="s">
        <v>44</v>
      </c>
      <c r="AL45">
        <v>1</v>
      </c>
      <c r="AM45" t="s">
        <v>45</v>
      </c>
      <c r="AN45" t="s">
        <v>46</v>
      </c>
      <c r="AP45" t="s">
        <v>47</v>
      </c>
      <c r="AQ45">
        <v>60.044012257098402</v>
      </c>
      <c r="AR45" t="s">
        <v>48</v>
      </c>
    </row>
    <row r="46" spans="1:44" x14ac:dyDescent="0.35">
      <c r="A46">
        <v>43</v>
      </c>
      <c r="B46">
        <v>0</v>
      </c>
      <c r="C46">
        <v>43</v>
      </c>
      <c r="D46" t="s">
        <v>179</v>
      </c>
      <c r="E46" t="s">
        <v>180</v>
      </c>
      <c r="F46" t="s">
        <v>51</v>
      </c>
      <c r="G46" t="s">
        <v>52</v>
      </c>
      <c r="H46" t="s">
        <v>52</v>
      </c>
      <c r="I46">
        <v>2.4328555000247398</v>
      </c>
      <c r="J46" t="s">
        <v>54</v>
      </c>
      <c r="K46">
        <v>43</v>
      </c>
      <c r="L46">
        <v>0</v>
      </c>
      <c r="M46">
        <v>43</v>
      </c>
      <c r="N46">
        <v>0</v>
      </c>
      <c r="O46">
        <v>89.525969100010101</v>
      </c>
      <c r="T46">
        <v>10</v>
      </c>
      <c r="U46">
        <v>89.507386799989007</v>
      </c>
      <c r="V46">
        <v>89.525969100010101</v>
      </c>
      <c r="W46">
        <v>89.525969100010101</v>
      </c>
      <c r="X46">
        <v>5.1142499985871802E-2</v>
      </c>
      <c r="Y46">
        <v>91.940413300006099</v>
      </c>
      <c r="Z46" t="s">
        <v>179</v>
      </c>
      <c r="AA46" t="s">
        <v>180</v>
      </c>
      <c r="AB46" t="s">
        <v>51</v>
      </c>
      <c r="AC46" t="s">
        <v>52</v>
      </c>
      <c r="AD46" t="s">
        <v>52</v>
      </c>
      <c r="AE46" t="s">
        <v>181</v>
      </c>
      <c r="AF46" t="s">
        <v>54</v>
      </c>
      <c r="AK46" t="s">
        <v>44</v>
      </c>
      <c r="AL46">
        <v>1</v>
      </c>
      <c r="AM46" t="s">
        <v>45</v>
      </c>
      <c r="AN46" t="s">
        <v>46</v>
      </c>
      <c r="AP46" t="s">
        <v>47</v>
      </c>
      <c r="AQ46">
        <v>60.044012257098402</v>
      </c>
      <c r="AR46" t="s">
        <v>48</v>
      </c>
    </row>
    <row r="47" spans="1:44" x14ac:dyDescent="0.35">
      <c r="A47">
        <v>44</v>
      </c>
      <c r="B47">
        <v>0</v>
      </c>
      <c r="C47">
        <v>44</v>
      </c>
      <c r="D47" t="s">
        <v>182</v>
      </c>
      <c r="E47" t="s">
        <v>183</v>
      </c>
      <c r="F47" t="s">
        <v>51</v>
      </c>
      <c r="G47" t="s">
        <v>52</v>
      </c>
      <c r="H47" t="s">
        <v>52</v>
      </c>
      <c r="I47">
        <v>1.81444669998018</v>
      </c>
      <c r="J47" t="s">
        <v>54</v>
      </c>
      <c r="K47">
        <v>44</v>
      </c>
      <c r="L47">
        <v>0</v>
      </c>
      <c r="M47">
        <v>44</v>
      </c>
      <c r="N47">
        <v>0</v>
      </c>
      <c r="O47">
        <v>92.012168200017101</v>
      </c>
      <c r="T47">
        <v>10</v>
      </c>
      <c r="U47">
        <v>91.992210700002005</v>
      </c>
      <c r="V47">
        <v>92.012168200017101</v>
      </c>
      <c r="W47">
        <v>92.012168200017101</v>
      </c>
      <c r="X47">
        <v>5.1414999994449297E-2</v>
      </c>
      <c r="Y47">
        <v>93.806842699996196</v>
      </c>
      <c r="Z47" t="s">
        <v>182</v>
      </c>
      <c r="AA47" t="s">
        <v>183</v>
      </c>
      <c r="AB47" t="s">
        <v>51</v>
      </c>
      <c r="AC47" t="s">
        <v>52</v>
      </c>
      <c r="AD47" t="s">
        <v>52</v>
      </c>
      <c r="AE47" t="s">
        <v>184</v>
      </c>
      <c r="AF47" t="s">
        <v>54</v>
      </c>
      <c r="AK47" t="s">
        <v>44</v>
      </c>
      <c r="AL47">
        <v>1</v>
      </c>
      <c r="AM47" t="s">
        <v>45</v>
      </c>
      <c r="AN47" t="s">
        <v>46</v>
      </c>
      <c r="AP47" t="s">
        <v>47</v>
      </c>
      <c r="AQ47">
        <v>60.044012257098402</v>
      </c>
      <c r="AR47" t="s">
        <v>48</v>
      </c>
    </row>
    <row r="48" spans="1:44" x14ac:dyDescent="0.35">
      <c r="A48">
        <v>45</v>
      </c>
      <c r="B48">
        <v>0</v>
      </c>
      <c r="C48">
        <v>45</v>
      </c>
      <c r="D48" t="s">
        <v>185</v>
      </c>
      <c r="E48" t="s">
        <v>186</v>
      </c>
      <c r="F48" t="s">
        <v>51</v>
      </c>
      <c r="G48" t="s">
        <v>52</v>
      </c>
      <c r="H48" t="s">
        <v>52</v>
      </c>
      <c r="I48">
        <v>4.0972104999818804</v>
      </c>
      <c r="J48" t="s">
        <v>54</v>
      </c>
      <c r="K48">
        <v>45</v>
      </c>
      <c r="L48">
        <v>0</v>
      </c>
      <c r="M48">
        <v>45</v>
      </c>
      <c r="N48">
        <v>0</v>
      </c>
      <c r="O48">
        <v>93.878332199994404</v>
      </c>
      <c r="T48">
        <v>10</v>
      </c>
      <c r="U48">
        <v>93.858151099993805</v>
      </c>
      <c r="V48">
        <v>93.878332199994404</v>
      </c>
      <c r="W48">
        <v>93.878332199994404</v>
      </c>
      <c r="X48">
        <v>5.0907800003187703E-2</v>
      </c>
      <c r="Y48">
        <v>97.955590199999193</v>
      </c>
      <c r="Z48" t="s">
        <v>185</v>
      </c>
      <c r="AA48" t="s">
        <v>186</v>
      </c>
      <c r="AB48" t="s">
        <v>51</v>
      </c>
      <c r="AC48" t="s">
        <v>52</v>
      </c>
      <c r="AD48" t="s">
        <v>52</v>
      </c>
      <c r="AE48" t="s">
        <v>187</v>
      </c>
      <c r="AF48" t="s">
        <v>54</v>
      </c>
      <c r="AK48" t="s">
        <v>44</v>
      </c>
      <c r="AL48">
        <v>1</v>
      </c>
      <c r="AM48" t="s">
        <v>45</v>
      </c>
      <c r="AN48" t="s">
        <v>46</v>
      </c>
      <c r="AP48" t="s">
        <v>47</v>
      </c>
      <c r="AQ48">
        <v>60.044012257098402</v>
      </c>
      <c r="AR48" t="s">
        <v>48</v>
      </c>
    </row>
    <row r="49" spans="1:44" x14ac:dyDescent="0.35">
      <c r="A49">
        <v>46</v>
      </c>
      <c r="B49">
        <v>0</v>
      </c>
      <c r="C49">
        <v>46</v>
      </c>
      <c r="D49" t="s">
        <v>188</v>
      </c>
      <c r="E49" t="s">
        <v>189</v>
      </c>
      <c r="F49" t="s">
        <v>51</v>
      </c>
      <c r="G49" t="s">
        <v>52</v>
      </c>
      <c r="H49" t="s">
        <v>52</v>
      </c>
      <c r="I49">
        <v>2.0236561000056099</v>
      </c>
      <c r="J49" t="s">
        <v>54</v>
      </c>
      <c r="K49">
        <v>46</v>
      </c>
      <c r="L49">
        <v>0</v>
      </c>
      <c r="M49">
        <v>46</v>
      </c>
      <c r="N49">
        <v>0</v>
      </c>
      <c r="O49">
        <v>97.995968500006697</v>
      </c>
      <c r="T49">
        <v>5</v>
      </c>
      <c r="U49">
        <v>97.982928100012899</v>
      </c>
      <c r="V49">
        <v>97.995968500006697</v>
      </c>
      <c r="W49">
        <v>97.995968500006697</v>
      </c>
      <c r="X49">
        <v>2.7104999986477099E-2</v>
      </c>
      <c r="Y49">
        <v>100.00679839999</v>
      </c>
      <c r="Z49" t="s">
        <v>188</v>
      </c>
      <c r="AA49" t="s">
        <v>189</v>
      </c>
      <c r="AB49" t="s">
        <v>51</v>
      </c>
      <c r="AC49" t="s">
        <v>52</v>
      </c>
      <c r="AD49" t="s">
        <v>52</v>
      </c>
      <c r="AE49" t="s">
        <v>190</v>
      </c>
      <c r="AF49" t="s">
        <v>54</v>
      </c>
      <c r="AK49" t="s">
        <v>44</v>
      </c>
      <c r="AL49">
        <v>1</v>
      </c>
      <c r="AM49" t="s">
        <v>45</v>
      </c>
      <c r="AN49" t="s">
        <v>46</v>
      </c>
      <c r="AP49" t="s">
        <v>47</v>
      </c>
      <c r="AQ49">
        <v>60.044012257098402</v>
      </c>
      <c r="AR49" t="s">
        <v>48</v>
      </c>
    </row>
    <row r="50" spans="1:44" x14ac:dyDescent="0.35">
      <c r="A50">
        <v>47</v>
      </c>
      <c r="B50">
        <v>0</v>
      </c>
      <c r="C50">
        <v>47</v>
      </c>
      <c r="D50" t="s">
        <v>191</v>
      </c>
      <c r="E50" t="s">
        <v>192</v>
      </c>
      <c r="F50" t="s">
        <v>51</v>
      </c>
      <c r="G50" t="s">
        <v>52</v>
      </c>
      <c r="H50" t="s">
        <v>52</v>
      </c>
      <c r="I50">
        <v>2.86633369998889</v>
      </c>
      <c r="J50" t="s">
        <v>54</v>
      </c>
      <c r="K50">
        <v>47</v>
      </c>
      <c r="L50">
        <v>0</v>
      </c>
      <c r="M50">
        <v>47</v>
      </c>
      <c r="N50">
        <v>0</v>
      </c>
      <c r="O50">
        <v>100.054417100007</v>
      </c>
      <c r="T50">
        <v>5</v>
      </c>
      <c r="U50">
        <v>100.039220300008</v>
      </c>
      <c r="V50">
        <v>100.054417100007</v>
      </c>
      <c r="W50">
        <v>100.054417100007</v>
      </c>
      <c r="X50">
        <v>3.21497000113595E-2</v>
      </c>
      <c r="Y50">
        <v>102.90567810000999</v>
      </c>
      <c r="Z50" t="s">
        <v>191</v>
      </c>
      <c r="AA50" t="s">
        <v>192</v>
      </c>
      <c r="AB50" t="s">
        <v>51</v>
      </c>
      <c r="AC50" t="s">
        <v>52</v>
      </c>
      <c r="AD50" t="s">
        <v>52</v>
      </c>
      <c r="AE50" t="s">
        <v>193</v>
      </c>
      <c r="AF50" t="s">
        <v>54</v>
      </c>
      <c r="AK50" t="s">
        <v>44</v>
      </c>
      <c r="AL50">
        <v>1</v>
      </c>
      <c r="AM50" t="s">
        <v>45</v>
      </c>
      <c r="AN50" t="s">
        <v>46</v>
      </c>
      <c r="AP50" t="s">
        <v>47</v>
      </c>
      <c r="AQ50">
        <v>60.044012257098402</v>
      </c>
      <c r="AR50" t="s">
        <v>48</v>
      </c>
    </row>
    <row r="51" spans="1:44" x14ac:dyDescent="0.35">
      <c r="A51">
        <v>48</v>
      </c>
      <c r="B51">
        <v>0</v>
      </c>
      <c r="C51">
        <v>48</v>
      </c>
      <c r="D51" t="s">
        <v>180</v>
      </c>
      <c r="E51" t="s">
        <v>194</v>
      </c>
      <c r="F51" t="s">
        <v>51</v>
      </c>
      <c r="G51" t="s">
        <v>52</v>
      </c>
      <c r="H51" t="s">
        <v>52</v>
      </c>
      <c r="I51">
        <v>1.9231339000107199</v>
      </c>
      <c r="J51" t="s">
        <v>54</v>
      </c>
      <c r="K51">
        <v>48</v>
      </c>
      <c r="L51">
        <v>0</v>
      </c>
      <c r="M51">
        <v>48</v>
      </c>
      <c r="N51">
        <v>0</v>
      </c>
      <c r="O51">
        <v>102.944856599991</v>
      </c>
      <c r="T51">
        <v>5</v>
      </c>
      <c r="U51">
        <v>102.93297689998801</v>
      </c>
      <c r="V51">
        <v>102.944856599991</v>
      </c>
      <c r="W51">
        <v>102.944856599991</v>
      </c>
      <c r="X51">
        <v>2.6995299995178301E-2</v>
      </c>
      <c r="Y51">
        <v>104.85628519998799</v>
      </c>
      <c r="Z51" t="s">
        <v>180</v>
      </c>
      <c r="AA51" t="s">
        <v>194</v>
      </c>
      <c r="AB51" t="s">
        <v>51</v>
      </c>
      <c r="AC51" t="s">
        <v>52</v>
      </c>
      <c r="AD51" t="s">
        <v>52</v>
      </c>
      <c r="AE51" t="s">
        <v>195</v>
      </c>
      <c r="AF51" t="s">
        <v>54</v>
      </c>
      <c r="AK51" t="s">
        <v>44</v>
      </c>
      <c r="AL51">
        <v>1</v>
      </c>
      <c r="AM51" t="s">
        <v>45</v>
      </c>
      <c r="AN51" t="s">
        <v>46</v>
      </c>
      <c r="AP51" t="s">
        <v>47</v>
      </c>
      <c r="AQ51">
        <v>60.044012257098402</v>
      </c>
      <c r="AR51" t="s">
        <v>48</v>
      </c>
    </row>
    <row r="52" spans="1:44" x14ac:dyDescent="0.35">
      <c r="A52">
        <v>49</v>
      </c>
      <c r="B52">
        <v>0</v>
      </c>
      <c r="C52">
        <v>49</v>
      </c>
      <c r="D52" t="s">
        <v>196</v>
      </c>
      <c r="E52" t="s">
        <v>197</v>
      </c>
      <c r="F52" t="s">
        <v>51</v>
      </c>
      <c r="G52" t="s">
        <v>52</v>
      </c>
      <c r="H52" t="s">
        <v>52</v>
      </c>
      <c r="I52">
        <v>1.7960873999982101</v>
      </c>
      <c r="J52" t="s">
        <v>54</v>
      </c>
      <c r="K52">
        <v>49</v>
      </c>
      <c r="L52">
        <v>0</v>
      </c>
      <c r="M52">
        <v>49</v>
      </c>
      <c r="N52">
        <v>0</v>
      </c>
      <c r="O52">
        <v>104.927822900004</v>
      </c>
      <c r="T52">
        <v>10</v>
      </c>
      <c r="U52">
        <v>104.90988920000299</v>
      </c>
      <c r="V52">
        <v>104.927822900004</v>
      </c>
      <c r="W52">
        <v>104.927822900004</v>
      </c>
      <c r="X52">
        <v>5.3312099975300897E-2</v>
      </c>
      <c r="Y52">
        <v>106.706117399997</v>
      </c>
      <c r="Z52" t="s">
        <v>196</v>
      </c>
      <c r="AA52" t="s">
        <v>197</v>
      </c>
      <c r="AB52" t="s">
        <v>51</v>
      </c>
      <c r="AC52" t="s">
        <v>52</v>
      </c>
      <c r="AD52" t="s">
        <v>52</v>
      </c>
      <c r="AE52" t="s">
        <v>198</v>
      </c>
      <c r="AF52" t="s">
        <v>54</v>
      </c>
      <c r="AK52" t="s">
        <v>44</v>
      </c>
      <c r="AL52">
        <v>1</v>
      </c>
      <c r="AM52" t="s">
        <v>45</v>
      </c>
      <c r="AN52" t="s">
        <v>46</v>
      </c>
      <c r="AP52" t="s">
        <v>47</v>
      </c>
      <c r="AQ52">
        <v>60.044012257098402</v>
      </c>
      <c r="AR52" t="s">
        <v>48</v>
      </c>
    </row>
    <row r="53" spans="1:44" x14ac:dyDescent="0.35">
      <c r="A53">
        <v>50</v>
      </c>
      <c r="B53">
        <v>0</v>
      </c>
      <c r="C53">
        <v>50</v>
      </c>
      <c r="D53" t="s">
        <v>199</v>
      </c>
      <c r="E53" t="s">
        <v>200</v>
      </c>
      <c r="F53" t="s">
        <v>51</v>
      </c>
      <c r="G53" t="s">
        <v>52</v>
      </c>
      <c r="H53" t="s">
        <v>52</v>
      </c>
      <c r="I53">
        <v>1.7089878999977299</v>
      </c>
      <c r="J53" t="s">
        <v>54</v>
      </c>
      <c r="K53">
        <v>50</v>
      </c>
      <c r="L53">
        <v>0</v>
      </c>
      <c r="M53">
        <v>50</v>
      </c>
      <c r="N53">
        <v>0</v>
      </c>
      <c r="O53">
        <v>106.742628900014</v>
      </c>
      <c r="T53">
        <v>5</v>
      </c>
      <c r="U53">
        <v>106.730309300008</v>
      </c>
      <c r="V53">
        <v>106.742628900014</v>
      </c>
      <c r="W53">
        <v>106.742628900014</v>
      </c>
      <c r="X53">
        <v>2.3863399983383701E-2</v>
      </c>
      <c r="Y53">
        <v>108.4394341</v>
      </c>
      <c r="Z53" t="s">
        <v>199</v>
      </c>
      <c r="AA53" t="s">
        <v>200</v>
      </c>
      <c r="AB53" t="s">
        <v>51</v>
      </c>
      <c r="AC53" t="s">
        <v>52</v>
      </c>
      <c r="AD53" t="s">
        <v>52</v>
      </c>
      <c r="AE53" t="s">
        <v>201</v>
      </c>
      <c r="AF53" t="s">
        <v>54</v>
      </c>
      <c r="AK53" t="s">
        <v>44</v>
      </c>
      <c r="AL53">
        <v>1</v>
      </c>
      <c r="AM53" t="s">
        <v>45</v>
      </c>
      <c r="AN53" t="s">
        <v>46</v>
      </c>
      <c r="AP53" t="s">
        <v>47</v>
      </c>
      <c r="AQ53">
        <v>60.044012257098402</v>
      </c>
      <c r="AR53" t="s">
        <v>48</v>
      </c>
    </row>
    <row r="54" spans="1:44" x14ac:dyDescent="0.35">
      <c r="A54">
        <v>51</v>
      </c>
      <c r="B54">
        <v>0</v>
      </c>
      <c r="C54">
        <v>51</v>
      </c>
      <c r="D54" t="s">
        <v>202</v>
      </c>
      <c r="E54" t="s">
        <v>203</v>
      </c>
      <c r="F54" t="s">
        <v>51</v>
      </c>
      <c r="G54" t="s">
        <v>52</v>
      </c>
      <c r="H54" t="s">
        <v>52</v>
      </c>
      <c r="I54">
        <v>1.58822820000932</v>
      </c>
      <c r="J54" t="s">
        <v>54</v>
      </c>
      <c r="K54">
        <v>51</v>
      </c>
      <c r="L54">
        <v>0</v>
      </c>
      <c r="M54">
        <v>51</v>
      </c>
      <c r="N54">
        <v>0</v>
      </c>
      <c r="O54">
        <v>108.479282999993</v>
      </c>
      <c r="T54">
        <v>5</v>
      </c>
      <c r="U54">
        <v>108.467076900007</v>
      </c>
      <c r="V54">
        <v>108.479282999993</v>
      </c>
      <c r="W54">
        <v>108.479282999993</v>
      </c>
      <c r="X54">
        <v>2.73798999842256E-2</v>
      </c>
      <c r="Y54">
        <v>110.05544970001201</v>
      </c>
      <c r="Z54" t="s">
        <v>202</v>
      </c>
      <c r="AA54" t="s">
        <v>203</v>
      </c>
      <c r="AB54" t="s">
        <v>51</v>
      </c>
      <c r="AC54" t="s">
        <v>52</v>
      </c>
      <c r="AD54" t="s">
        <v>52</v>
      </c>
      <c r="AE54" t="s">
        <v>204</v>
      </c>
      <c r="AF54" t="s">
        <v>54</v>
      </c>
      <c r="AK54" t="s">
        <v>44</v>
      </c>
      <c r="AL54">
        <v>1</v>
      </c>
      <c r="AM54" t="s">
        <v>45</v>
      </c>
      <c r="AN54" t="s">
        <v>46</v>
      </c>
      <c r="AP54" t="s">
        <v>47</v>
      </c>
      <c r="AQ54">
        <v>60.044012257098402</v>
      </c>
      <c r="AR54" t="s">
        <v>48</v>
      </c>
    </row>
    <row r="55" spans="1:44" x14ac:dyDescent="0.35">
      <c r="A55">
        <v>52</v>
      </c>
      <c r="B55">
        <v>0</v>
      </c>
      <c r="C55">
        <v>52</v>
      </c>
      <c r="D55" t="s">
        <v>205</v>
      </c>
      <c r="E55" t="s">
        <v>206</v>
      </c>
      <c r="F55" t="s">
        <v>51</v>
      </c>
      <c r="G55" t="s">
        <v>52</v>
      </c>
      <c r="H55" t="s">
        <v>52</v>
      </c>
      <c r="I55">
        <v>1.7516534999886</v>
      </c>
      <c r="J55" t="s">
        <v>54</v>
      </c>
      <c r="K55">
        <v>52</v>
      </c>
      <c r="L55">
        <v>0</v>
      </c>
      <c r="M55">
        <v>52</v>
      </c>
      <c r="N55">
        <v>0</v>
      </c>
      <c r="O55">
        <v>110.124975400016</v>
      </c>
      <c r="T55">
        <v>10</v>
      </c>
      <c r="U55">
        <v>110.105053200008</v>
      </c>
      <c r="V55">
        <v>110.124975400016</v>
      </c>
      <c r="W55">
        <v>110.124975400016</v>
      </c>
      <c r="X55">
        <v>4.9333399976603597E-2</v>
      </c>
      <c r="Y55">
        <v>111.85689779999601</v>
      </c>
      <c r="Z55" t="s">
        <v>205</v>
      </c>
      <c r="AA55" t="s">
        <v>206</v>
      </c>
      <c r="AB55" t="s">
        <v>51</v>
      </c>
      <c r="AC55" t="s">
        <v>52</v>
      </c>
      <c r="AD55" t="s">
        <v>52</v>
      </c>
      <c r="AE55" t="s">
        <v>207</v>
      </c>
      <c r="AF55" t="s">
        <v>54</v>
      </c>
      <c r="AK55" t="s">
        <v>44</v>
      </c>
      <c r="AL55">
        <v>1</v>
      </c>
      <c r="AM55" t="s">
        <v>45</v>
      </c>
      <c r="AN55" t="s">
        <v>46</v>
      </c>
      <c r="AP55" t="s">
        <v>47</v>
      </c>
      <c r="AQ55">
        <v>60.044012257098402</v>
      </c>
      <c r="AR55" t="s">
        <v>48</v>
      </c>
    </row>
    <row r="56" spans="1:44" x14ac:dyDescent="0.35">
      <c r="A56">
        <v>53</v>
      </c>
      <c r="B56">
        <v>0</v>
      </c>
      <c r="C56">
        <v>53</v>
      </c>
      <c r="D56" t="s">
        <v>208</v>
      </c>
      <c r="E56" t="s">
        <v>159</v>
      </c>
      <c r="F56" t="s">
        <v>51</v>
      </c>
      <c r="G56" t="s">
        <v>52</v>
      </c>
      <c r="H56" t="s">
        <v>52</v>
      </c>
      <c r="I56">
        <v>1.3551364000013499</v>
      </c>
      <c r="J56" t="s">
        <v>54</v>
      </c>
      <c r="K56">
        <v>53</v>
      </c>
      <c r="L56">
        <v>0</v>
      </c>
      <c r="M56">
        <v>53</v>
      </c>
      <c r="N56">
        <v>0</v>
      </c>
      <c r="O56">
        <v>111.896498499991</v>
      </c>
      <c r="T56">
        <v>5</v>
      </c>
      <c r="U56">
        <v>111.883600300003</v>
      </c>
      <c r="V56">
        <v>111.896498499991</v>
      </c>
      <c r="W56">
        <v>111.896498499991</v>
      </c>
      <c r="X56">
        <v>2.6297500007785801E-2</v>
      </c>
      <c r="Y56">
        <v>113.23887490000899</v>
      </c>
      <c r="Z56" t="s">
        <v>208</v>
      </c>
      <c r="AA56" t="s">
        <v>159</v>
      </c>
      <c r="AB56" t="s">
        <v>51</v>
      </c>
      <c r="AC56" t="s">
        <v>52</v>
      </c>
      <c r="AD56" t="s">
        <v>52</v>
      </c>
      <c r="AE56" t="s">
        <v>209</v>
      </c>
      <c r="AF56" t="s">
        <v>54</v>
      </c>
      <c r="AK56" t="s">
        <v>44</v>
      </c>
      <c r="AL56">
        <v>1</v>
      </c>
      <c r="AM56" t="s">
        <v>45</v>
      </c>
      <c r="AN56" t="s">
        <v>46</v>
      </c>
      <c r="AP56" t="s">
        <v>47</v>
      </c>
      <c r="AQ56">
        <v>60.044012257098402</v>
      </c>
      <c r="AR56" t="s">
        <v>48</v>
      </c>
    </row>
    <row r="57" spans="1:44" x14ac:dyDescent="0.35">
      <c r="A57">
        <v>54</v>
      </c>
      <c r="B57">
        <v>0</v>
      </c>
      <c r="C57">
        <v>54</v>
      </c>
      <c r="D57" t="s">
        <v>210</v>
      </c>
      <c r="E57" t="s">
        <v>211</v>
      </c>
      <c r="F57" t="s">
        <v>51</v>
      </c>
      <c r="G57" t="s">
        <v>52</v>
      </c>
      <c r="H57" t="s">
        <v>52</v>
      </c>
      <c r="I57">
        <v>1.9658515999908499</v>
      </c>
      <c r="J57" t="s">
        <v>54</v>
      </c>
      <c r="K57">
        <v>54</v>
      </c>
      <c r="L57">
        <v>0</v>
      </c>
      <c r="M57">
        <v>54</v>
      </c>
      <c r="N57">
        <v>0</v>
      </c>
      <c r="O57">
        <v>113.309230999992</v>
      </c>
      <c r="T57">
        <v>10</v>
      </c>
      <c r="U57">
        <v>113.28947899999901</v>
      </c>
      <c r="V57">
        <v>113.309230999992</v>
      </c>
      <c r="W57">
        <v>113.309230999992</v>
      </c>
      <c r="X57">
        <v>5.0374200014630298E-2</v>
      </c>
      <c r="Y57">
        <v>115.255494500015</v>
      </c>
      <c r="Z57" t="s">
        <v>210</v>
      </c>
      <c r="AA57" t="s">
        <v>211</v>
      </c>
      <c r="AB57" t="s">
        <v>51</v>
      </c>
      <c r="AC57" t="s">
        <v>52</v>
      </c>
      <c r="AD57" t="s">
        <v>52</v>
      </c>
      <c r="AE57" t="s">
        <v>212</v>
      </c>
      <c r="AF57" t="s">
        <v>54</v>
      </c>
      <c r="AK57" t="s">
        <v>44</v>
      </c>
      <c r="AL57">
        <v>1</v>
      </c>
      <c r="AM57" t="s">
        <v>45</v>
      </c>
      <c r="AN57" t="s">
        <v>46</v>
      </c>
      <c r="AP57" t="s">
        <v>47</v>
      </c>
      <c r="AQ57">
        <v>60.044012257098402</v>
      </c>
      <c r="AR57" t="s">
        <v>48</v>
      </c>
    </row>
    <row r="58" spans="1:44" x14ac:dyDescent="0.35">
      <c r="A58">
        <v>55</v>
      </c>
      <c r="B58">
        <v>0</v>
      </c>
      <c r="C58">
        <v>55</v>
      </c>
      <c r="D58" t="s">
        <v>213</v>
      </c>
      <c r="E58" t="s">
        <v>86</v>
      </c>
      <c r="F58" t="s">
        <v>51</v>
      </c>
      <c r="G58" t="s">
        <v>52</v>
      </c>
      <c r="H58" t="s">
        <v>52</v>
      </c>
      <c r="I58">
        <v>2.4754514999803998</v>
      </c>
      <c r="J58" t="s">
        <v>54</v>
      </c>
      <c r="K58">
        <v>55</v>
      </c>
      <c r="L58">
        <v>0</v>
      </c>
      <c r="M58">
        <v>55</v>
      </c>
      <c r="N58">
        <v>0</v>
      </c>
      <c r="O58">
        <v>115.294055900012</v>
      </c>
      <c r="T58">
        <v>5</v>
      </c>
      <c r="U58">
        <v>115.28123859999999</v>
      </c>
      <c r="V58">
        <v>115.294055900012</v>
      </c>
      <c r="W58">
        <v>115.294055900012</v>
      </c>
      <c r="X58">
        <v>2.5343599991174401E-2</v>
      </c>
      <c r="Y58">
        <v>117.75685289999799</v>
      </c>
      <c r="Z58" t="s">
        <v>213</v>
      </c>
      <c r="AA58" t="s">
        <v>86</v>
      </c>
      <c r="AB58" t="s">
        <v>51</v>
      </c>
      <c r="AC58" t="s">
        <v>52</v>
      </c>
      <c r="AD58" t="s">
        <v>52</v>
      </c>
      <c r="AE58" t="s">
        <v>214</v>
      </c>
      <c r="AF58" t="s">
        <v>54</v>
      </c>
      <c r="AK58" t="s">
        <v>44</v>
      </c>
      <c r="AL58">
        <v>1</v>
      </c>
      <c r="AM58" t="s">
        <v>45</v>
      </c>
      <c r="AN58" t="s">
        <v>46</v>
      </c>
      <c r="AP58" t="s">
        <v>47</v>
      </c>
      <c r="AQ58">
        <v>60.044012257098402</v>
      </c>
      <c r="AR58" t="s">
        <v>48</v>
      </c>
    </row>
    <row r="59" spans="1:44" x14ac:dyDescent="0.35">
      <c r="A59">
        <v>56</v>
      </c>
      <c r="B59">
        <v>0</v>
      </c>
      <c r="C59">
        <v>56</v>
      </c>
      <c r="D59" t="s">
        <v>215</v>
      </c>
      <c r="E59" t="s">
        <v>216</v>
      </c>
      <c r="F59" t="s">
        <v>51</v>
      </c>
      <c r="G59" t="s">
        <v>52</v>
      </c>
      <c r="H59" t="s">
        <v>52</v>
      </c>
      <c r="I59">
        <v>1.6552117000101101</v>
      </c>
      <c r="J59" t="s">
        <v>54</v>
      </c>
      <c r="K59">
        <v>56</v>
      </c>
      <c r="L59">
        <v>0</v>
      </c>
      <c r="M59">
        <v>56</v>
      </c>
      <c r="N59">
        <v>0</v>
      </c>
      <c r="O59">
        <v>117.79682350001499</v>
      </c>
      <c r="T59">
        <v>5</v>
      </c>
      <c r="U59">
        <v>117.784142599994</v>
      </c>
      <c r="V59">
        <v>117.79682350001499</v>
      </c>
      <c r="W59">
        <v>117.79682350001499</v>
      </c>
      <c r="X59">
        <v>2.7000100002624001E-2</v>
      </c>
      <c r="Y59">
        <v>119.43947750001</v>
      </c>
      <c r="Z59" t="s">
        <v>215</v>
      </c>
      <c r="AA59" t="s">
        <v>216</v>
      </c>
      <c r="AB59" t="s">
        <v>51</v>
      </c>
      <c r="AC59" t="s">
        <v>52</v>
      </c>
      <c r="AD59" t="s">
        <v>52</v>
      </c>
      <c r="AE59" t="s">
        <v>217</v>
      </c>
      <c r="AF59" t="s">
        <v>54</v>
      </c>
      <c r="AK59" t="s">
        <v>44</v>
      </c>
      <c r="AL59">
        <v>1</v>
      </c>
      <c r="AM59" t="s">
        <v>45</v>
      </c>
      <c r="AN59" t="s">
        <v>46</v>
      </c>
      <c r="AP59" t="s">
        <v>47</v>
      </c>
      <c r="AQ59">
        <v>60.044012257098402</v>
      </c>
      <c r="AR59" t="s">
        <v>48</v>
      </c>
    </row>
    <row r="60" spans="1:44" x14ac:dyDescent="0.35">
      <c r="A60">
        <v>57</v>
      </c>
      <c r="B60">
        <v>0</v>
      </c>
      <c r="C60">
        <v>57</v>
      </c>
      <c r="D60" t="s">
        <v>218</v>
      </c>
      <c r="E60" t="s">
        <v>219</v>
      </c>
      <c r="F60" t="s">
        <v>51</v>
      </c>
      <c r="G60" t="s">
        <v>52</v>
      </c>
      <c r="H60" t="s">
        <v>52</v>
      </c>
      <c r="I60">
        <v>2.7146016999904501</v>
      </c>
      <c r="J60" t="s">
        <v>54</v>
      </c>
      <c r="K60">
        <v>57</v>
      </c>
      <c r="L60">
        <v>0</v>
      </c>
      <c r="M60">
        <v>57</v>
      </c>
      <c r="N60">
        <v>0</v>
      </c>
      <c r="O60">
        <v>119.507979299989</v>
      </c>
      <c r="T60">
        <v>10</v>
      </c>
      <c r="U60">
        <v>119.489990300004</v>
      </c>
      <c r="V60">
        <v>119.507979299989</v>
      </c>
      <c r="W60">
        <v>119.507979299989</v>
      </c>
      <c r="X60">
        <v>5.0294200016651303E-2</v>
      </c>
      <c r="Y60">
        <v>122.204696500004</v>
      </c>
      <c r="Z60" t="s">
        <v>218</v>
      </c>
      <c r="AA60" t="s">
        <v>219</v>
      </c>
      <c r="AB60" t="s">
        <v>51</v>
      </c>
      <c r="AC60" t="s">
        <v>52</v>
      </c>
      <c r="AD60" t="s">
        <v>52</v>
      </c>
      <c r="AE60" t="s">
        <v>220</v>
      </c>
      <c r="AF60" t="s">
        <v>54</v>
      </c>
      <c r="AK60" t="s">
        <v>44</v>
      </c>
      <c r="AL60">
        <v>1</v>
      </c>
      <c r="AM60" t="s">
        <v>45</v>
      </c>
      <c r="AN60" t="s">
        <v>46</v>
      </c>
      <c r="AP60" t="s">
        <v>47</v>
      </c>
      <c r="AQ60">
        <v>60.044012257098402</v>
      </c>
      <c r="AR60" t="s">
        <v>48</v>
      </c>
    </row>
    <row r="61" spans="1:44" x14ac:dyDescent="0.35">
      <c r="A61">
        <v>58</v>
      </c>
      <c r="B61">
        <v>0</v>
      </c>
      <c r="C61">
        <v>58</v>
      </c>
      <c r="D61" t="s">
        <v>221</v>
      </c>
      <c r="E61" t="s">
        <v>211</v>
      </c>
      <c r="F61" t="s">
        <v>51</v>
      </c>
      <c r="G61" t="s">
        <v>52</v>
      </c>
      <c r="H61" t="s">
        <v>52</v>
      </c>
      <c r="I61">
        <v>2.2397191000054502</v>
      </c>
      <c r="J61" t="s">
        <v>54</v>
      </c>
      <c r="K61">
        <v>58</v>
      </c>
      <c r="L61">
        <v>0</v>
      </c>
      <c r="M61">
        <v>58</v>
      </c>
      <c r="N61">
        <v>0</v>
      </c>
      <c r="O61">
        <v>122.244099500007</v>
      </c>
      <c r="T61">
        <v>5</v>
      </c>
      <c r="U61">
        <v>122.230611900013</v>
      </c>
      <c r="V61">
        <v>122.244099500007</v>
      </c>
      <c r="W61">
        <v>122.244099500007</v>
      </c>
      <c r="X61">
        <v>2.5700400001369399E-2</v>
      </c>
      <c r="Y61">
        <v>124.470467800012</v>
      </c>
      <c r="Z61" t="s">
        <v>221</v>
      </c>
      <c r="AA61" t="s">
        <v>211</v>
      </c>
      <c r="AB61" t="s">
        <v>51</v>
      </c>
      <c r="AC61" t="s">
        <v>52</v>
      </c>
      <c r="AD61" t="s">
        <v>52</v>
      </c>
      <c r="AE61" t="s">
        <v>222</v>
      </c>
      <c r="AF61" t="s">
        <v>54</v>
      </c>
      <c r="AK61" t="s">
        <v>44</v>
      </c>
      <c r="AL61">
        <v>1</v>
      </c>
      <c r="AM61" t="s">
        <v>45</v>
      </c>
      <c r="AN61" t="s">
        <v>46</v>
      </c>
      <c r="AP61" t="s">
        <v>47</v>
      </c>
      <c r="AQ61">
        <v>60.044012257098402</v>
      </c>
      <c r="AR61" t="s">
        <v>48</v>
      </c>
    </row>
    <row r="62" spans="1:44" x14ac:dyDescent="0.35">
      <c r="A62">
        <v>59</v>
      </c>
      <c r="B62">
        <v>0</v>
      </c>
      <c r="C62">
        <v>59</v>
      </c>
      <c r="D62" t="s">
        <v>223</v>
      </c>
      <c r="E62" t="s">
        <v>224</v>
      </c>
      <c r="F62" t="s">
        <v>51</v>
      </c>
      <c r="G62" t="s">
        <v>52</v>
      </c>
      <c r="H62" t="s">
        <v>52</v>
      </c>
      <c r="I62">
        <v>1.92830679999315</v>
      </c>
      <c r="J62" t="s">
        <v>54</v>
      </c>
      <c r="K62">
        <v>59</v>
      </c>
      <c r="L62">
        <v>0</v>
      </c>
      <c r="M62">
        <v>59</v>
      </c>
      <c r="N62">
        <v>0</v>
      </c>
      <c r="O62">
        <v>124.54740879999</v>
      </c>
      <c r="T62">
        <v>10</v>
      </c>
      <c r="U62">
        <v>124.526183900015</v>
      </c>
      <c r="V62">
        <v>124.54740879999</v>
      </c>
      <c r="W62">
        <v>124.54740879999</v>
      </c>
      <c r="X62">
        <v>5.5462999996961998E-2</v>
      </c>
      <c r="Y62">
        <v>126.45463130000201</v>
      </c>
      <c r="Z62" t="s">
        <v>223</v>
      </c>
      <c r="AA62" t="s">
        <v>224</v>
      </c>
      <c r="AB62" t="s">
        <v>51</v>
      </c>
      <c r="AC62" t="s">
        <v>52</v>
      </c>
      <c r="AD62" t="s">
        <v>52</v>
      </c>
      <c r="AE62" t="s">
        <v>225</v>
      </c>
      <c r="AF62" t="s">
        <v>54</v>
      </c>
      <c r="AK62" t="s">
        <v>44</v>
      </c>
      <c r="AL62">
        <v>1</v>
      </c>
      <c r="AM62" t="s">
        <v>45</v>
      </c>
      <c r="AN62" t="s">
        <v>46</v>
      </c>
      <c r="AP62" t="s">
        <v>47</v>
      </c>
      <c r="AQ62">
        <v>60.044012257098402</v>
      </c>
      <c r="AR62" t="s">
        <v>48</v>
      </c>
    </row>
    <row r="63" spans="1:44" x14ac:dyDescent="0.35">
      <c r="A63">
        <v>60</v>
      </c>
      <c r="B63">
        <v>0</v>
      </c>
      <c r="C63">
        <v>60</v>
      </c>
      <c r="D63" t="s">
        <v>226</v>
      </c>
      <c r="E63" t="s">
        <v>227</v>
      </c>
      <c r="F63" t="s">
        <v>51</v>
      </c>
      <c r="G63" t="s">
        <v>52</v>
      </c>
      <c r="H63" t="s">
        <v>52</v>
      </c>
      <c r="I63">
        <v>2.1017390000051801</v>
      </c>
      <c r="J63" t="s">
        <v>54</v>
      </c>
      <c r="K63">
        <v>60</v>
      </c>
      <c r="L63">
        <v>0</v>
      </c>
      <c r="M63">
        <v>60</v>
      </c>
      <c r="N63">
        <v>0</v>
      </c>
      <c r="O63">
        <v>126.50059549999401</v>
      </c>
      <c r="T63">
        <v>5</v>
      </c>
      <c r="U63">
        <v>126.487001000001</v>
      </c>
      <c r="V63">
        <v>126.50059549999401</v>
      </c>
      <c r="W63">
        <v>126.50059549999401</v>
      </c>
      <c r="X63">
        <v>3.2026000000769203E-2</v>
      </c>
      <c r="Y63">
        <v>128.58889889999401</v>
      </c>
      <c r="Z63" t="s">
        <v>226</v>
      </c>
      <c r="AA63" t="s">
        <v>227</v>
      </c>
      <c r="AB63" t="s">
        <v>51</v>
      </c>
      <c r="AC63" t="s">
        <v>52</v>
      </c>
      <c r="AD63" t="s">
        <v>52</v>
      </c>
      <c r="AE63" t="s">
        <v>228</v>
      </c>
      <c r="AF63" t="s">
        <v>54</v>
      </c>
      <c r="AK63" t="s">
        <v>44</v>
      </c>
      <c r="AL63">
        <v>1</v>
      </c>
      <c r="AM63" t="s">
        <v>45</v>
      </c>
      <c r="AN63" t="s">
        <v>46</v>
      </c>
      <c r="AP63" t="s">
        <v>47</v>
      </c>
      <c r="AQ63">
        <v>60.044012257098402</v>
      </c>
      <c r="AR63" t="s">
        <v>48</v>
      </c>
    </row>
    <row r="64" spans="1:44" x14ac:dyDescent="0.35">
      <c r="A64">
        <v>61</v>
      </c>
      <c r="B64">
        <v>0</v>
      </c>
      <c r="C64">
        <v>61</v>
      </c>
      <c r="D64" t="s">
        <v>122</v>
      </c>
      <c r="E64" t="s">
        <v>229</v>
      </c>
      <c r="F64" t="s">
        <v>51</v>
      </c>
      <c r="G64" t="s">
        <v>52</v>
      </c>
      <c r="H64" t="s">
        <v>52</v>
      </c>
      <c r="I64">
        <v>1.84021480000228</v>
      </c>
      <c r="J64" t="s">
        <v>54</v>
      </c>
      <c r="K64">
        <v>61</v>
      </c>
      <c r="L64">
        <v>0</v>
      </c>
      <c r="M64">
        <v>61</v>
      </c>
      <c r="N64">
        <v>0</v>
      </c>
      <c r="O64">
        <v>128.631147200008</v>
      </c>
      <c r="T64">
        <v>5</v>
      </c>
      <c r="U64">
        <v>128.61477970000101</v>
      </c>
      <c r="V64">
        <v>128.631147200008</v>
      </c>
      <c r="W64">
        <v>128.631147200008</v>
      </c>
      <c r="X64">
        <v>2.5606200011679899E-2</v>
      </c>
      <c r="Y64">
        <v>130.455153899994</v>
      </c>
      <c r="Z64" t="s">
        <v>122</v>
      </c>
      <c r="AA64" t="s">
        <v>229</v>
      </c>
      <c r="AB64" t="s">
        <v>51</v>
      </c>
      <c r="AC64" t="s">
        <v>52</v>
      </c>
      <c r="AD64" t="s">
        <v>52</v>
      </c>
      <c r="AE64" t="s">
        <v>230</v>
      </c>
      <c r="AF64" t="s">
        <v>54</v>
      </c>
      <c r="AK64" t="s">
        <v>44</v>
      </c>
      <c r="AL64">
        <v>1</v>
      </c>
      <c r="AM64" t="s">
        <v>45</v>
      </c>
      <c r="AN64" t="s">
        <v>46</v>
      </c>
      <c r="AP64" t="s">
        <v>47</v>
      </c>
      <c r="AQ64">
        <v>60.044012257098402</v>
      </c>
      <c r="AR64" t="s">
        <v>48</v>
      </c>
    </row>
    <row r="65" spans="1:44" x14ac:dyDescent="0.35">
      <c r="A65">
        <v>62</v>
      </c>
      <c r="B65">
        <v>0</v>
      </c>
      <c r="C65">
        <v>62</v>
      </c>
      <c r="D65" t="s">
        <v>231</v>
      </c>
      <c r="E65" t="s">
        <v>173</v>
      </c>
      <c r="F65" t="s">
        <v>51</v>
      </c>
      <c r="G65" t="s">
        <v>52</v>
      </c>
      <c r="H65" t="s">
        <v>52</v>
      </c>
      <c r="I65">
        <v>1.55583810000098</v>
      </c>
      <c r="J65" t="s">
        <v>54</v>
      </c>
      <c r="K65">
        <v>62</v>
      </c>
      <c r="L65">
        <v>0</v>
      </c>
      <c r="M65">
        <v>62</v>
      </c>
      <c r="N65">
        <v>0</v>
      </c>
      <c r="O65">
        <v>130.49919080000799</v>
      </c>
      <c r="T65">
        <v>5</v>
      </c>
      <c r="U65">
        <v>130.48202450000099</v>
      </c>
      <c r="V65">
        <v>130.49919080000799</v>
      </c>
      <c r="W65">
        <v>130.49919080000799</v>
      </c>
      <c r="X65">
        <v>2.66125999914947E-2</v>
      </c>
      <c r="Y65">
        <v>132.03803379999499</v>
      </c>
      <c r="Z65" t="s">
        <v>231</v>
      </c>
      <c r="AA65" t="s">
        <v>173</v>
      </c>
      <c r="AB65" t="s">
        <v>51</v>
      </c>
      <c r="AC65" t="s">
        <v>52</v>
      </c>
      <c r="AD65" t="s">
        <v>52</v>
      </c>
      <c r="AE65" t="s">
        <v>232</v>
      </c>
      <c r="AF65" t="s">
        <v>54</v>
      </c>
      <c r="AK65" t="s">
        <v>44</v>
      </c>
      <c r="AL65">
        <v>1</v>
      </c>
      <c r="AM65" t="s">
        <v>45</v>
      </c>
      <c r="AN65" t="s">
        <v>46</v>
      </c>
      <c r="AP65" t="s">
        <v>47</v>
      </c>
      <c r="AQ65">
        <v>60.044012257098402</v>
      </c>
      <c r="AR65" t="s">
        <v>48</v>
      </c>
    </row>
    <row r="66" spans="1:44" x14ac:dyDescent="0.35">
      <c r="A66">
        <v>63</v>
      </c>
      <c r="B66">
        <v>0</v>
      </c>
      <c r="C66">
        <v>63</v>
      </c>
      <c r="D66" t="s">
        <v>233</v>
      </c>
      <c r="E66" t="s">
        <v>234</v>
      </c>
      <c r="F66" t="s">
        <v>51</v>
      </c>
      <c r="G66" t="s">
        <v>52</v>
      </c>
      <c r="H66" t="s">
        <v>52</v>
      </c>
      <c r="I66">
        <v>1.54010839998954</v>
      </c>
      <c r="J66" t="s">
        <v>54</v>
      </c>
      <c r="K66">
        <v>63</v>
      </c>
      <c r="L66">
        <v>0</v>
      </c>
      <c r="M66">
        <v>63</v>
      </c>
      <c r="N66">
        <v>0</v>
      </c>
      <c r="O66">
        <v>132.080261900002</v>
      </c>
      <c r="T66">
        <v>5</v>
      </c>
      <c r="U66">
        <v>132.06623080000199</v>
      </c>
      <c r="V66">
        <v>132.080261900002</v>
      </c>
      <c r="W66">
        <v>132.080261900002</v>
      </c>
      <c r="X66">
        <v>2.7912599995033802E-2</v>
      </c>
      <c r="Y66">
        <v>133.606500399997</v>
      </c>
      <c r="Z66" t="s">
        <v>233</v>
      </c>
      <c r="AA66" t="s">
        <v>234</v>
      </c>
      <c r="AB66" t="s">
        <v>51</v>
      </c>
      <c r="AC66" t="s">
        <v>52</v>
      </c>
      <c r="AD66" t="s">
        <v>52</v>
      </c>
      <c r="AE66" t="s">
        <v>235</v>
      </c>
      <c r="AF66" t="s">
        <v>54</v>
      </c>
      <c r="AK66" t="s">
        <v>44</v>
      </c>
      <c r="AL66">
        <v>1</v>
      </c>
      <c r="AM66" t="s">
        <v>45</v>
      </c>
      <c r="AN66" t="s">
        <v>46</v>
      </c>
      <c r="AP66" t="s">
        <v>47</v>
      </c>
      <c r="AQ66">
        <v>60.044012257098402</v>
      </c>
      <c r="AR66" t="s">
        <v>48</v>
      </c>
    </row>
    <row r="67" spans="1:44" x14ac:dyDescent="0.35">
      <c r="A67">
        <v>64</v>
      </c>
      <c r="B67">
        <v>0</v>
      </c>
      <c r="C67">
        <v>64</v>
      </c>
      <c r="D67" t="s">
        <v>236</v>
      </c>
      <c r="E67" t="s">
        <v>237</v>
      </c>
      <c r="F67" t="s">
        <v>51</v>
      </c>
      <c r="G67" t="s">
        <v>52</v>
      </c>
      <c r="H67" t="s">
        <v>52</v>
      </c>
      <c r="I67">
        <v>1.5985435000038699</v>
      </c>
      <c r="J67" t="s">
        <v>54</v>
      </c>
      <c r="K67">
        <v>64</v>
      </c>
      <c r="L67">
        <v>0</v>
      </c>
      <c r="M67">
        <v>64</v>
      </c>
      <c r="N67">
        <v>0</v>
      </c>
      <c r="O67">
        <v>133.6742754</v>
      </c>
      <c r="T67">
        <v>10</v>
      </c>
      <c r="U67">
        <v>133.654890000005</v>
      </c>
      <c r="V67">
        <v>133.6742754</v>
      </c>
      <c r="W67">
        <v>133.6742754</v>
      </c>
      <c r="X67">
        <v>4.8183300008531597E-2</v>
      </c>
      <c r="Y67">
        <v>135.25355860000101</v>
      </c>
      <c r="Z67" t="s">
        <v>236</v>
      </c>
      <c r="AA67" t="s">
        <v>237</v>
      </c>
      <c r="AB67" t="s">
        <v>51</v>
      </c>
      <c r="AC67" t="s">
        <v>52</v>
      </c>
      <c r="AD67" t="s">
        <v>52</v>
      </c>
      <c r="AE67" t="s">
        <v>238</v>
      </c>
      <c r="AF67" t="s">
        <v>54</v>
      </c>
      <c r="AK67" t="s">
        <v>44</v>
      </c>
      <c r="AL67">
        <v>1</v>
      </c>
      <c r="AM67" t="s">
        <v>45</v>
      </c>
      <c r="AN67" t="s">
        <v>46</v>
      </c>
      <c r="AP67" t="s">
        <v>47</v>
      </c>
      <c r="AQ67">
        <v>60.044012257098402</v>
      </c>
      <c r="AR67" t="s">
        <v>48</v>
      </c>
    </row>
    <row r="68" spans="1:44" x14ac:dyDescent="0.35">
      <c r="A68">
        <v>65</v>
      </c>
      <c r="B68">
        <v>0</v>
      </c>
      <c r="C68">
        <v>65</v>
      </c>
      <c r="D68" t="s">
        <v>239</v>
      </c>
      <c r="E68" t="s">
        <v>152</v>
      </c>
      <c r="F68" t="s">
        <v>51</v>
      </c>
      <c r="G68" t="s">
        <v>52</v>
      </c>
      <c r="H68" t="s">
        <v>52</v>
      </c>
      <c r="I68">
        <v>1.8070785999880099</v>
      </c>
      <c r="J68" t="s">
        <v>54</v>
      </c>
      <c r="K68">
        <v>65</v>
      </c>
      <c r="L68">
        <v>0</v>
      </c>
      <c r="M68">
        <v>65</v>
      </c>
      <c r="N68">
        <v>0</v>
      </c>
      <c r="O68">
        <v>135.294617700012</v>
      </c>
      <c r="T68">
        <v>5</v>
      </c>
      <c r="U68">
        <v>135.28068500000501</v>
      </c>
      <c r="V68">
        <v>135.294617700012</v>
      </c>
      <c r="W68">
        <v>135.294617700012</v>
      </c>
      <c r="X68">
        <v>2.6795200014021199E-2</v>
      </c>
      <c r="Y68">
        <v>137.08790829998901</v>
      </c>
      <c r="Z68" t="s">
        <v>239</v>
      </c>
      <c r="AA68" t="s">
        <v>152</v>
      </c>
      <c r="AB68" t="s">
        <v>51</v>
      </c>
      <c r="AC68" t="s">
        <v>52</v>
      </c>
      <c r="AD68" t="s">
        <v>52</v>
      </c>
      <c r="AE68" t="s">
        <v>240</v>
      </c>
      <c r="AF68" t="s">
        <v>54</v>
      </c>
      <c r="AK68" t="s">
        <v>44</v>
      </c>
      <c r="AL68">
        <v>1</v>
      </c>
      <c r="AM68" t="s">
        <v>45</v>
      </c>
      <c r="AN68" t="s">
        <v>46</v>
      </c>
      <c r="AP68" t="s">
        <v>47</v>
      </c>
      <c r="AQ68">
        <v>60.044012257098402</v>
      </c>
      <c r="AR68" t="s">
        <v>48</v>
      </c>
    </row>
    <row r="69" spans="1:44" x14ac:dyDescent="0.35">
      <c r="A69">
        <v>66</v>
      </c>
      <c r="B69">
        <v>0</v>
      </c>
      <c r="C69">
        <v>66</v>
      </c>
      <c r="D69" t="s">
        <v>241</v>
      </c>
      <c r="E69" t="s">
        <v>242</v>
      </c>
      <c r="F69" t="s">
        <v>51</v>
      </c>
      <c r="G69" t="s">
        <v>52</v>
      </c>
      <c r="H69" t="s">
        <v>52</v>
      </c>
      <c r="I69">
        <v>2.28936419999809</v>
      </c>
      <c r="J69" t="s">
        <v>54</v>
      </c>
      <c r="K69">
        <v>66</v>
      </c>
      <c r="L69">
        <v>0</v>
      </c>
      <c r="M69">
        <v>66</v>
      </c>
      <c r="N69">
        <v>0</v>
      </c>
      <c r="O69">
        <v>137.16711790001099</v>
      </c>
      <c r="T69">
        <v>10</v>
      </c>
      <c r="U69">
        <v>137.14855680000599</v>
      </c>
      <c r="V69">
        <v>137.16711790001099</v>
      </c>
      <c r="W69">
        <v>137.16711790001099</v>
      </c>
      <c r="X69">
        <v>6.03632999991532E-2</v>
      </c>
      <c r="Y69">
        <v>139.438053999998</v>
      </c>
      <c r="Z69" t="s">
        <v>241</v>
      </c>
      <c r="AA69" t="s">
        <v>242</v>
      </c>
      <c r="AB69" t="s">
        <v>51</v>
      </c>
      <c r="AC69" t="s">
        <v>52</v>
      </c>
      <c r="AD69" t="s">
        <v>52</v>
      </c>
      <c r="AE69" t="s">
        <v>243</v>
      </c>
      <c r="AF69" t="s">
        <v>54</v>
      </c>
      <c r="AK69" t="s">
        <v>44</v>
      </c>
      <c r="AL69">
        <v>1</v>
      </c>
      <c r="AM69" t="s">
        <v>45</v>
      </c>
      <c r="AN69" t="s">
        <v>46</v>
      </c>
      <c r="AP69" t="s">
        <v>47</v>
      </c>
      <c r="AQ69">
        <v>60.044012257098402</v>
      </c>
      <c r="AR69" t="s">
        <v>48</v>
      </c>
    </row>
    <row r="70" spans="1:44" x14ac:dyDescent="0.35">
      <c r="A70">
        <v>67</v>
      </c>
      <c r="B70">
        <v>0</v>
      </c>
      <c r="C70">
        <v>67</v>
      </c>
      <c r="D70" t="s">
        <v>94</v>
      </c>
      <c r="E70" t="s">
        <v>244</v>
      </c>
      <c r="F70" t="s">
        <v>51</v>
      </c>
      <c r="G70" t="s">
        <v>52</v>
      </c>
      <c r="H70" t="s">
        <v>52</v>
      </c>
      <c r="I70">
        <v>2.92882900001131</v>
      </c>
      <c r="J70" t="s">
        <v>54</v>
      </c>
      <c r="K70">
        <v>67</v>
      </c>
      <c r="L70">
        <v>0</v>
      </c>
      <c r="M70">
        <v>67</v>
      </c>
      <c r="N70">
        <v>0</v>
      </c>
      <c r="O70">
        <v>139.51317419999299</v>
      </c>
      <c r="T70">
        <v>10</v>
      </c>
      <c r="U70">
        <v>139.49271340001701</v>
      </c>
      <c r="V70">
        <v>139.51317419999299</v>
      </c>
      <c r="W70">
        <v>139.51317419999299</v>
      </c>
      <c r="X70">
        <v>5.4334299988113302E-2</v>
      </c>
      <c r="Y70">
        <v>142.42166089999901</v>
      </c>
      <c r="Z70" t="s">
        <v>94</v>
      </c>
      <c r="AA70" t="s">
        <v>244</v>
      </c>
      <c r="AB70" t="s">
        <v>51</v>
      </c>
      <c r="AC70" t="s">
        <v>52</v>
      </c>
      <c r="AD70" t="s">
        <v>52</v>
      </c>
      <c r="AE70" t="s">
        <v>245</v>
      </c>
      <c r="AF70" t="s">
        <v>54</v>
      </c>
      <c r="AK70" t="s">
        <v>44</v>
      </c>
      <c r="AL70">
        <v>1</v>
      </c>
      <c r="AM70" t="s">
        <v>45</v>
      </c>
      <c r="AN70" t="s">
        <v>46</v>
      </c>
      <c r="AP70" t="s">
        <v>47</v>
      </c>
      <c r="AQ70">
        <v>60.044012257098402</v>
      </c>
      <c r="AR70" t="s">
        <v>48</v>
      </c>
    </row>
    <row r="71" spans="1:44" x14ac:dyDescent="0.35">
      <c r="A71">
        <v>68</v>
      </c>
      <c r="B71">
        <v>0</v>
      </c>
      <c r="C71">
        <v>68</v>
      </c>
      <c r="D71" t="s">
        <v>246</v>
      </c>
      <c r="E71" t="s">
        <v>82</v>
      </c>
      <c r="F71" t="s">
        <v>51</v>
      </c>
      <c r="G71" t="s">
        <v>52</v>
      </c>
      <c r="H71" t="s">
        <v>52</v>
      </c>
      <c r="I71">
        <v>3.7958423000236499</v>
      </c>
      <c r="J71" t="s">
        <v>54</v>
      </c>
      <c r="K71">
        <v>68</v>
      </c>
      <c r="L71">
        <v>0</v>
      </c>
      <c r="M71">
        <v>68</v>
      </c>
      <c r="N71">
        <v>0</v>
      </c>
      <c r="O71">
        <v>142.45593200001099</v>
      </c>
      <c r="T71">
        <v>5</v>
      </c>
      <c r="U71">
        <v>142.443319200014</v>
      </c>
      <c r="V71">
        <v>142.45593200001099</v>
      </c>
      <c r="W71">
        <v>142.45593200001099</v>
      </c>
      <c r="X71">
        <v>2.1391699992818699E-2</v>
      </c>
      <c r="Y71">
        <v>146.23956590000299</v>
      </c>
      <c r="Z71" t="s">
        <v>246</v>
      </c>
      <c r="AA71" t="s">
        <v>82</v>
      </c>
      <c r="AB71" t="s">
        <v>51</v>
      </c>
      <c r="AC71" t="s">
        <v>52</v>
      </c>
      <c r="AD71" t="s">
        <v>52</v>
      </c>
      <c r="AE71" t="s">
        <v>247</v>
      </c>
      <c r="AF71" t="s">
        <v>54</v>
      </c>
      <c r="AK71" t="s">
        <v>44</v>
      </c>
      <c r="AL71">
        <v>1</v>
      </c>
      <c r="AM71" t="s">
        <v>45</v>
      </c>
      <c r="AN71" t="s">
        <v>46</v>
      </c>
      <c r="AP71" t="s">
        <v>47</v>
      </c>
      <c r="AQ71">
        <v>60.044012257098402</v>
      </c>
      <c r="AR71" t="s">
        <v>48</v>
      </c>
    </row>
    <row r="72" spans="1:44" x14ac:dyDescent="0.35">
      <c r="A72">
        <v>69</v>
      </c>
      <c r="B72">
        <v>0</v>
      </c>
      <c r="C72">
        <v>69</v>
      </c>
      <c r="D72" t="s">
        <v>174</v>
      </c>
      <c r="E72" t="s">
        <v>248</v>
      </c>
      <c r="F72" t="s">
        <v>51</v>
      </c>
      <c r="G72" t="s">
        <v>52</v>
      </c>
      <c r="H72" t="s">
        <v>52</v>
      </c>
      <c r="I72">
        <v>1.66791019999072</v>
      </c>
      <c r="J72" t="s">
        <v>54</v>
      </c>
      <c r="K72">
        <v>69</v>
      </c>
      <c r="L72">
        <v>0</v>
      </c>
      <c r="M72">
        <v>69</v>
      </c>
      <c r="N72">
        <v>0</v>
      </c>
      <c r="O72">
        <v>146.305293600016</v>
      </c>
      <c r="T72">
        <v>10</v>
      </c>
      <c r="U72">
        <v>146.28692720000899</v>
      </c>
      <c r="V72">
        <v>146.305293600016</v>
      </c>
      <c r="W72">
        <v>146.305293600016</v>
      </c>
      <c r="X72">
        <v>4.6980200015241197E-2</v>
      </c>
      <c r="Y72">
        <v>147.95493820001099</v>
      </c>
      <c r="Z72" t="s">
        <v>174</v>
      </c>
      <c r="AA72" t="s">
        <v>248</v>
      </c>
      <c r="AB72" t="s">
        <v>51</v>
      </c>
      <c r="AC72" t="s">
        <v>52</v>
      </c>
      <c r="AD72" t="s">
        <v>52</v>
      </c>
      <c r="AE72" t="s">
        <v>249</v>
      </c>
      <c r="AF72" t="s">
        <v>54</v>
      </c>
      <c r="AK72" t="s">
        <v>44</v>
      </c>
      <c r="AL72">
        <v>1</v>
      </c>
      <c r="AM72" t="s">
        <v>45</v>
      </c>
      <c r="AN72" t="s">
        <v>46</v>
      </c>
      <c r="AP72" t="s">
        <v>47</v>
      </c>
      <c r="AQ72">
        <v>60.044012257098402</v>
      </c>
      <c r="AR72" t="s">
        <v>48</v>
      </c>
    </row>
    <row r="73" spans="1:44" x14ac:dyDescent="0.35">
      <c r="A73">
        <v>70</v>
      </c>
      <c r="B73">
        <v>0</v>
      </c>
      <c r="C73">
        <v>70</v>
      </c>
      <c r="D73" t="s">
        <v>250</v>
      </c>
      <c r="E73" t="s">
        <v>251</v>
      </c>
      <c r="F73" t="s">
        <v>51</v>
      </c>
      <c r="G73" t="s">
        <v>52</v>
      </c>
      <c r="H73" t="s">
        <v>52</v>
      </c>
      <c r="I73">
        <v>1.36119360002339</v>
      </c>
      <c r="J73" t="s">
        <v>54</v>
      </c>
      <c r="K73">
        <v>70</v>
      </c>
      <c r="L73">
        <v>0</v>
      </c>
      <c r="M73">
        <v>70</v>
      </c>
      <c r="N73">
        <v>0</v>
      </c>
      <c r="O73">
        <v>147.991493600013</v>
      </c>
      <c r="T73">
        <v>5</v>
      </c>
      <c r="U73">
        <v>147.979453600011</v>
      </c>
      <c r="V73">
        <v>147.991493600013</v>
      </c>
      <c r="W73">
        <v>147.991493600013</v>
      </c>
      <c r="X73">
        <v>2.4302200006786699E-2</v>
      </c>
      <c r="Y73">
        <v>149.34078980001499</v>
      </c>
      <c r="Z73" t="s">
        <v>250</v>
      </c>
      <c r="AA73" t="s">
        <v>251</v>
      </c>
      <c r="AB73" t="s">
        <v>51</v>
      </c>
      <c r="AC73" t="s">
        <v>52</v>
      </c>
      <c r="AD73" t="s">
        <v>52</v>
      </c>
      <c r="AE73" t="s">
        <v>252</v>
      </c>
      <c r="AF73" t="s">
        <v>54</v>
      </c>
      <c r="AK73" t="s">
        <v>44</v>
      </c>
      <c r="AL73">
        <v>1</v>
      </c>
      <c r="AM73" t="s">
        <v>45</v>
      </c>
      <c r="AN73" t="s">
        <v>46</v>
      </c>
      <c r="AP73" t="s">
        <v>47</v>
      </c>
      <c r="AQ73">
        <v>60.044012257098402</v>
      </c>
      <c r="AR73" t="s">
        <v>48</v>
      </c>
    </row>
    <row r="74" spans="1:44" x14ac:dyDescent="0.35">
      <c r="A74">
        <v>71</v>
      </c>
      <c r="B74">
        <v>0</v>
      </c>
      <c r="C74">
        <v>71</v>
      </c>
      <c r="D74" t="s">
        <v>253</v>
      </c>
      <c r="E74" t="s">
        <v>254</v>
      </c>
      <c r="F74" t="s">
        <v>51</v>
      </c>
      <c r="G74" t="s">
        <v>52</v>
      </c>
      <c r="H74" t="s">
        <v>52</v>
      </c>
      <c r="I74">
        <v>1.3529432999785</v>
      </c>
      <c r="J74" t="s">
        <v>54</v>
      </c>
      <c r="K74">
        <v>71</v>
      </c>
      <c r="L74">
        <v>0</v>
      </c>
      <c r="M74">
        <v>71</v>
      </c>
      <c r="N74">
        <v>0</v>
      </c>
      <c r="O74">
        <v>149.37814740001301</v>
      </c>
      <c r="T74">
        <v>5</v>
      </c>
      <c r="U74">
        <v>149.36733929999099</v>
      </c>
      <c r="V74">
        <v>149.37814740001301</v>
      </c>
      <c r="W74">
        <v>149.37814740001301</v>
      </c>
      <c r="X74">
        <v>2.6281400001607801E-2</v>
      </c>
      <c r="Y74">
        <v>150.72038340001001</v>
      </c>
      <c r="Z74" t="s">
        <v>253</v>
      </c>
      <c r="AA74" t="s">
        <v>254</v>
      </c>
      <c r="AB74" t="s">
        <v>51</v>
      </c>
      <c r="AC74" t="s">
        <v>52</v>
      </c>
      <c r="AD74" t="s">
        <v>52</v>
      </c>
      <c r="AE74" t="s">
        <v>255</v>
      </c>
      <c r="AF74" t="s">
        <v>54</v>
      </c>
      <c r="AK74" t="s">
        <v>44</v>
      </c>
      <c r="AL74">
        <v>1</v>
      </c>
      <c r="AM74" t="s">
        <v>45</v>
      </c>
      <c r="AN74" t="s">
        <v>46</v>
      </c>
      <c r="AP74" t="s">
        <v>47</v>
      </c>
      <c r="AQ74">
        <v>60.044012257098402</v>
      </c>
      <c r="AR74" t="s">
        <v>48</v>
      </c>
    </row>
    <row r="75" spans="1:44" x14ac:dyDescent="0.35">
      <c r="A75">
        <v>72</v>
      </c>
      <c r="B75">
        <v>0</v>
      </c>
      <c r="C75">
        <v>72</v>
      </c>
      <c r="D75" t="s">
        <v>55</v>
      </c>
      <c r="E75" t="s">
        <v>256</v>
      </c>
      <c r="F75" t="s">
        <v>51</v>
      </c>
      <c r="G75" t="s">
        <v>52</v>
      </c>
      <c r="H75" t="s">
        <v>52</v>
      </c>
      <c r="I75">
        <v>1.3420530000002999</v>
      </c>
      <c r="J75" t="s">
        <v>54</v>
      </c>
      <c r="K75">
        <v>72</v>
      </c>
      <c r="L75">
        <v>0</v>
      </c>
      <c r="M75">
        <v>72</v>
      </c>
      <c r="N75">
        <v>0</v>
      </c>
      <c r="O75">
        <v>150.75813989999</v>
      </c>
      <c r="T75">
        <v>5</v>
      </c>
      <c r="U75">
        <v>150.745642900001</v>
      </c>
      <c r="V75">
        <v>150.75813989999</v>
      </c>
      <c r="W75">
        <v>150.75813989999</v>
      </c>
      <c r="X75">
        <v>2.5100099999690401E-2</v>
      </c>
      <c r="Y75">
        <v>152.08781789999901</v>
      </c>
      <c r="Z75" t="s">
        <v>55</v>
      </c>
      <c r="AA75" t="s">
        <v>256</v>
      </c>
      <c r="AB75" t="s">
        <v>51</v>
      </c>
      <c r="AC75" t="s">
        <v>52</v>
      </c>
      <c r="AD75" t="s">
        <v>52</v>
      </c>
      <c r="AE75" t="s">
        <v>257</v>
      </c>
      <c r="AF75" t="s">
        <v>54</v>
      </c>
      <c r="AK75" t="s">
        <v>44</v>
      </c>
      <c r="AL75">
        <v>1</v>
      </c>
      <c r="AM75" t="s">
        <v>45</v>
      </c>
      <c r="AN75" t="s">
        <v>46</v>
      </c>
      <c r="AP75" t="s">
        <v>47</v>
      </c>
      <c r="AQ75">
        <v>60.044012257098402</v>
      </c>
      <c r="AR75" t="s">
        <v>48</v>
      </c>
    </row>
    <row r="76" spans="1:44" x14ac:dyDescent="0.35">
      <c r="A76">
        <v>73</v>
      </c>
      <c r="B76">
        <v>0</v>
      </c>
      <c r="C76">
        <v>73</v>
      </c>
      <c r="D76" t="s">
        <v>258</v>
      </c>
      <c r="E76" t="s">
        <v>259</v>
      </c>
      <c r="F76" t="s">
        <v>51</v>
      </c>
      <c r="G76" t="s">
        <v>52</v>
      </c>
      <c r="H76" t="s">
        <v>52</v>
      </c>
      <c r="I76">
        <v>1.91781380001339</v>
      </c>
      <c r="J76" t="s">
        <v>54</v>
      </c>
      <c r="K76">
        <v>73</v>
      </c>
      <c r="L76">
        <v>0</v>
      </c>
      <c r="M76">
        <v>73</v>
      </c>
      <c r="N76">
        <v>0</v>
      </c>
      <c r="O76">
        <v>152.15737890001</v>
      </c>
      <c r="T76">
        <v>10</v>
      </c>
      <c r="U76">
        <v>152.13706490001599</v>
      </c>
      <c r="V76">
        <v>152.15737890001</v>
      </c>
      <c r="W76">
        <v>152.15737890001</v>
      </c>
      <c r="X76">
        <v>4.8948699986794901E-2</v>
      </c>
      <c r="Y76">
        <v>154.05502010000001</v>
      </c>
      <c r="Z76" t="s">
        <v>258</v>
      </c>
      <c r="AA76" t="s">
        <v>259</v>
      </c>
      <c r="AB76" t="s">
        <v>51</v>
      </c>
      <c r="AC76" t="s">
        <v>52</v>
      </c>
      <c r="AD76" t="s">
        <v>52</v>
      </c>
      <c r="AE76" t="s">
        <v>260</v>
      </c>
      <c r="AF76" t="s">
        <v>54</v>
      </c>
      <c r="AK76" t="s">
        <v>44</v>
      </c>
      <c r="AL76">
        <v>1</v>
      </c>
      <c r="AM76" t="s">
        <v>45</v>
      </c>
      <c r="AN76" t="s">
        <v>46</v>
      </c>
      <c r="AP76" t="s">
        <v>47</v>
      </c>
      <c r="AQ76">
        <v>60.044012257098402</v>
      </c>
      <c r="AR76" t="s">
        <v>48</v>
      </c>
    </row>
    <row r="77" spans="1:44" x14ac:dyDescent="0.35">
      <c r="A77">
        <v>74</v>
      </c>
      <c r="B77">
        <v>0</v>
      </c>
      <c r="C77">
        <v>74</v>
      </c>
      <c r="D77" t="s">
        <v>261</v>
      </c>
      <c r="E77" t="s">
        <v>262</v>
      </c>
      <c r="F77" t="s">
        <v>51</v>
      </c>
      <c r="G77" t="s">
        <v>52</v>
      </c>
      <c r="H77" t="s">
        <v>52</v>
      </c>
      <c r="I77">
        <v>1.7815715000033301</v>
      </c>
      <c r="J77" t="s">
        <v>54</v>
      </c>
      <c r="K77">
        <v>74</v>
      </c>
      <c r="L77">
        <v>0</v>
      </c>
      <c r="M77">
        <v>74</v>
      </c>
      <c r="N77">
        <v>0</v>
      </c>
      <c r="O77">
        <v>154.12658690000501</v>
      </c>
      <c r="T77">
        <v>10</v>
      </c>
      <c r="U77">
        <v>154.10631100001001</v>
      </c>
      <c r="V77">
        <v>154.12658690000501</v>
      </c>
      <c r="W77">
        <v>154.12658690000501</v>
      </c>
      <c r="X77">
        <v>5.0917100015794803E-2</v>
      </c>
      <c r="Y77">
        <v>155.88818080001499</v>
      </c>
      <c r="Z77" t="s">
        <v>261</v>
      </c>
      <c r="AA77" t="s">
        <v>262</v>
      </c>
      <c r="AB77" t="s">
        <v>51</v>
      </c>
      <c r="AC77" t="s">
        <v>52</v>
      </c>
      <c r="AD77" t="s">
        <v>52</v>
      </c>
      <c r="AE77" t="s">
        <v>263</v>
      </c>
      <c r="AF77" t="s">
        <v>54</v>
      </c>
      <c r="AK77" t="s">
        <v>44</v>
      </c>
      <c r="AL77">
        <v>1</v>
      </c>
      <c r="AM77" t="s">
        <v>45</v>
      </c>
      <c r="AN77" t="s">
        <v>46</v>
      </c>
      <c r="AP77" t="s">
        <v>47</v>
      </c>
      <c r="AQ77">
        <v>60.044012257098402</v>
      </c>
      <c r="AR77" t="s">
        <v>48</v>
      </c>
    </row>
    <row r="78" spans="1:44" x14ac:dyDescent="0.35">
      <c r="A78">
        <v>75</v>
      </c>
      <c r="B78">
        <v>0</v>
      </c>
      <c r="C78">
        <v>75</v>
      </c>
      <c r="D78" t="s">
        <v>264</v>
      </c>
      <c r="E78" t="s">
        <v>265</v>
      </c>
      <c r="F78" t="s">
        <v>51</v>
      </c>
      <c r="G78" t="s">
        <v>52</v>
      </c>
      <c r="H78" t="s">
        <v>52</v>
      </c>
      <c r="I78">
        <v>1.5351685000059601</v>
      </c>
      <c r="J78" t="s">
        <v>54</v>
      </c>
      <c r="K78">
        <v>75</v>
      </c>
      <c r="L78">
        <v>0</v>
      </c>
      <c r="M78">
        <v>75</v>
      </c>
      <c r="N78">
        <v>0</v>
      </c>
      <c r="O78">
        <v>155.93144250000401</v>
      </c>
      <c r="T78">
        <v>5</v>
      </c>
      <c r="U78">
        <v>155.91775150000399</v>
      </c>
      <c r="V78">
        <v>155.93144250000401</v>
      </c>
      <c r="W78">
        <v>155.93144250000401</v>
      </c>
      <c r="X78">
        <v>2.9223899997305101E-2</v>
      </c>
      <c r="Y78">
        <v>157.45301779999801</v>
      </c>
      <c r="Z78" t="s">
        <v>264</v>
      </c>
      <c r="AA78" t="s">
        <v>265</v>
      </c>
      <c r="AB78" t="s">
        <v>51</v>
      </c>
      <c r="AC78" t="s">
        <v>52</v>
      </c>
      <c r="AD78" t="s">
        <v>52</v>
      </c>
      <c r="AE78" t="s">
        <v>266</v>
      </c>
      <c r="AF78" t="s">
        <v>54</v>
      </c>
      <c r="AK78" t="s">
        <v>44</v>
      </c>
      <c r="AL78">
        <v>1</v>
      </c>
      <c r="AM78" t="s">
        <v>45</v>
      </c>
      <c r="AN78" t="s">
        <v>46</v>
      </c>
      <c r="AP78" t="s">
        <v>47</v>
      </c>
      <c r="AQ78">
        <v>60.044012257098402</v>
      </c>
      <c r="AR78" t="s">
        <v>48</v>
      </c>
    </row>
    <row r="79" spans="1:44" x14ac:dyDescent="0.35">
      <c r="A79">
        <v>76</v>
      </c>
      <c r="B79">
        <v>0</v>
      </c>
      <c r="C79">
        <v>76</v>
      </c>
      <c r="D79" t="s">
        <v>267</v>
      </c>
      <c r="E79" t="s">
        <v>226</v>
      </c>
      <c r="F79" t="s">
        <v>51</v>
      </c>
      <c r="G79" t="s">
        <v>52</v>
      </c>
      <c r="H79" t="s">
        <v>52</v>
      </c>
      <c r="I79">
        <v>2.2863729000091499</v>
      </c>
      <c r="J79" t="s">
        <v>54</v>
      </c>
      <c r="K79">
        <v>76</v>
      </c>
      <c r="L79">
        <v>0</v>
      </c>
      <c r="M79">
        <v>76</v>
      </c>
      <c r="N79">
        <v>0</v>
      </c>
      <c r="O79">
        <v>157.51926219998799</v>
      </c>
      <c r="T79">
        <v>10</v>
      </c>
      <c r="U79">
        <v>157.49949439999099</v>
      </c>
      <c r="V79">
        <v>157.51926219998799</v>
      </c>
      <c r="W79">
        <v>157.51926219998799</v>
      </c>
      <c r="X79">
        <v>4.6289599995361599E-2</v>
      </c>
      <c r="Y79">
        <v>159.78595560000301</v>
      </c>
      <c r="Z79" t="s">
        <v>267</v>
      </c>
      <c r="AA79" t="s">
        <v>226</v>
      </c>
      <c r="AB79" t="s">
        <v>51</v>
      </c>
      <c r="AC79" t="s">
        <v>52</v>
      </c>
      <c r="AD79" t="s">
        <v>52</v>
      </c>
      <c r="AE79" t="s">
        <v>268</v>
      </c>
      <c r="AF79" t="s">
        <v>54</v>
      </c>
      <c r="AK79" t="s">
        <v>44</v>
      </c>
      <c r="AL79">
        <v>1</v>
      </c>
      <c r="AM79" t="s">
        <v>45</v>
      </c>
      <c r="AN79" t="s">
        <v>46</v>
      </c>
      <c r="AP79" t="s">
        <v>47</v>
      </c>
      <c r="AQ79">
        <v>60.044012257098402</v>
      </c>
      <c r="AR79" t="s">
        <v>48</v>
      </c>
    </row>
    <row r="80" spans="1:44" x14ac:dyDescent="0.35">
      <c r="A80">
        <v>77</v>
      </c>
      <c r="B80">
        <v>0</v>
      </c>
      <c r="C80">
        <v>77</v>
      </c>
      <c r="D80" t="s">
        <v>269</v>
      </c>
      <c r="E80" t="s">
        <v>270</v>
      </c>
      <c r="F80" t="s">
        <v>51</v>
      </c>
      <c r="G80" t="s">
        <v>52</v>
      </c>
      <c r="H80" t="s">
        <v>52</v>
      </c>
      <c r="I80">
        <v>3.55718899998464</v>
      </c>
      <c r="J80" t="s">
        <v>54</v>
      </c>
      <c r="K80">
        <v>77</v>
      </c>
      <c r="L80">
        <v>0</v>
      </c>
      <c r="M80">
        <v>77</v>
      </c>
      <c r="N80">
        <v>0</v>
      </c>
      <c r="O80">
        <v>159.84929959999801</v>
      </c>
      <c r="T80">
        <v>10</v>
      </c>
      <c r="U80">
        <v>159.83066659999801</v>
      </c>
      <c r="V80">
        <v>159.84929959999801</v>
      </c>
      <c r="W80">
        <v>159.84929959999801</v>
      </c>
      <c r="X80">
        <v>4.44977000006474E-2</v>
      </c>
      <c r="Y80">
        <v>163.388050900015</v>
      </c>
      <c r="Z80" t="s">
        <v>269</v>
      </c>
      <c r="AA80" t="s">
        <v>270</v>
      </c>
      <c r="AB80" t="s">
        <v>51</v>
      </c>
      <c r="AC80" t="s">
        <v>52</v>
      </c>
      <c r="AD80" t="s">
        <v>52</v>
      </c>
      <c r="AE80" t="s">
        <v>271</v>
      </c>
      <c r="AF80" t="s">
        <v>54</v>
      </c>
      <c r="AK80" t="s">
        <v>44</v>
      </c>
      <c r="AL80">
        <v>1</v>
      </c>
      <c r="AM80" t="s">
        <v>45</v>
      </c>
      <c r="AN80" t="s">
        <v>46</v>
      </c>
      <c r="AP80" t="s">
        <v>47</v>
      </c>
      <c r="AQ80">
        <v>60.044012257098402</v>
      </c>
      <c r="AR80" t="s">
        <v>48</v>
      </c>
    </row>
    <row r="81" spans="1:44" x14ac:dyDescent="0.35">
      <c r="A81">
        <v>78</v>
      </c>
      <c r="B81">
        <v>0</v>
      </c>
      <c r="C81">
        <v>78</v>
      </c>
      <c r="D81" t="s">
        <v>272</v>
      </c>
      <c r="E81" t="s">
        <v>273</v>
      </c>
      <c r="F81" t="s">
        <v>51</v>
      </c>
      <c r="G81" t="s">
        <v>52</v>
      </c>
      <c r="H81" t="s">
        <v>52</v>
      </c>
      <c r="I81">
        <v>1.5588625000091201</v>
      </c>
      <c r="J81" t="s">
        <v>54</v>
      </c>
      <c r="K81">
        <v>78</v>
      </c>
      <c r="L81">
        <v>0</v>
      </c>
      <c r="M81">
        <v>78</v>
      </c>
      <c r="N81">
        <v>0</v>
      </c>
      <c r="O81">
        <v>163.44903180000199</v>
      </c>
      <c r="T81">
        <v>10</v>
      </c>
      <c r="U81">
        <v>163.430221899994</v>
      </c>
      <c r="V81">
        <v>163.44903180000199</v>
      </c>
      <c r="W81">
        <v>163.44903180000199</v>
      </c>
      <c r="X81">
        <v>4.1952200001105597E-2</v>
      </c>
      <c r="Y81">
        <v>164.98921210001501</v>
      </c>
      <c r="Z81" t="s">
        <v>272</v>
      </c>
      <c r="AA81" t="s">
        <v>273</v>
      </c>
      <c r="AB81" t="s">
        <v>51</v>
      </c>
      <c r="AC81" t="s">
        <v>52</v>
      </c>
      <c r="AD81" t="s">
        <v>52</v>
      </c>
      <c r="AE81" t="s">
        <v>274</v>
      </c>
      <c r="AF81" t="s">
        <v>54</v>
      </c>
      <c r="AK81" t="s">
        <v>44</v>
      </c>
      <c r="AL81">
        <v>1</v>
      </c>
      <c r="AM81" t="s">
        <v>45</v>
      </c>
      <c r="AN81" t="s">
        <v>46</v>
      </c>
      <c r="AP81" t="s">
        <v>47</v>
      </c>
      <c r="AQ81">
        <v>60.044012257098402</v>
      </c>
      <c r="AR81" t="s">
        <v>48</v>
      </c>
    </row>
    <row r="82" spans="1:44" x14ac:dyDescent="0.35">
      <c r="A82">
        <v>79</v>
      </c>
      <c r="B82">
        <v>0</v>
      </c>
      <c r="C82">
        <v>79</v>
      </c>
      <c r="D82" t="s">
        <v>275</v>
      </c>
      <c r="E82" t="s">
        <v>276</v>
      </c>
      <c r="F82" t="s">
        <v>51</v>
      </c>
      <c r="G82" t="s">
        <v>52</v>
      </c>
      <c r="H82" t="s">
        <v>52</v>
      </c>
      <c r="I82">
        <v>1.57168319998891</v>
      </c>
      <c r="J82" t="s">
        <v>54</v>
      </c>
      <c r="K82">
        <v>79</v>
      </c>
      <c r="L82">
        <v>0</v>
      </c>
      <c r="M82">
        <v>79</v>
      </c>
      <c r="N82">
        <v>0</v>
      </c>
      <c r="O82">
        <v>165.02717780001601</v>
      </c>
      <c r="T82">
        <v>5</v>
      </c>
      <c r="U82">
        <v>165.01410410000199</v>
      </c>
      <c r="V82">
        <v>165.02717780001601</v>
      </c>
      <c r="W82">
        <v>165.02717780001601</v>
      </c>
      <c r="X82">
        <v>2.4596000002929899E-2</v>
      </c>
      <c r="Y82">
        <v>166.585887799999</v>
      </c>
      <c r="Z82" t="s">
        <v>275</v>
      </c>
      <c r="AA82" t="s">
        <v>276</v>
      </c>
      <c r="AB82" t="s">
        <v>51</v>
      </c>
      <c r="AC82" t="s">
        <v>52</v>
      </c>
      <c r="AD82" t="s">
        <v>52</v>
      </c>
      <c r="AE82" t="s">
        <v>277</v>
      </c>
      <c r="AF82" t="s">
        <v>54</v>
      </c>
      <c r="AK82" t="s">
        <v>44</v>
      </c>
      <c r="AL82">
        <v>1</v>
      </c>
      <c r="AM82" t="s">
        <v>45</v>
      </c>
      <c r="AN82" t="s">
        <v>46</v>
      </c>
      <c r="AP82" t="s">
        <v>47</v>
      </c>
      <c r="AQ82">
        <v>60.044012257098402</v>
      </c>
      <c r="AR82" t="s">
        <v>48</v>
      </c>
    </row>
    <row r="83" spans="1:44" x14ac:dyDescent="0.35">
      <c r="A83">
        <v>80</v>
      </c>
      <c r="B83">
        <v>0</v>
      </c>
      <c r="C83">
        <v>80</v>
      </c>
      <c r="D83" t="s">
        <v>278</v>
      </c>
      <c r="E83" t="s">
        <v>279</v>
      </c>
      <c r="F83" t="s">
        <v>51</v>
      </c>
      <c r="G83" t="s">
        <v>52</v>
      </c>
      <c r="H83" t="s">
        <v>52</v>
      </c>
      <c r="I83">
        <v>1.8421415000048</v>
      </c>
      <c r="J83" t="s">
        <v>54</v>
      </c>
      <c r="K83">
        <v>80</v>
      </c>
      <c r="L83">
        <v>0</v>
      </c>
      <c r="M83">
        <v>80</v>
      </c>
      <c r="N83">
        <v>0</v>
      </c>
      <c r="O83">
        <v>166.64687669998901</v>
      </c>
      <c r="T83">
        <v>10</v>
      </c>
      <c r="U83">
        <v>166.62876769999201</v>
      </c>
      <c r="V83">
        <v>166.64687669998901</v>
      </c>
      <c r="W83">
        <v>166.64687669998901</v>
      </c>
      <c r="X83">
        <v>4.2670099996030303E-2</v>
      </c>
      <c r="Y83">
        <v>168.47102190001101</v>
      </c>
      <c r="Z83" t="s">
        <v>278</v>
      </c>
      <c r="AA83" t="s">
        <v>279</v>
      </c>
      <c r="AB83" t="s">
        <v>51</v>
      </c>
      <c r="AC83" t="s">
        <v>52</v>
      </c>
      <c r="AD83" t="s">
        <v>52</v>
      </c>
      <c r="AE83" t="s">
        <v>280</v>
      </c>
      <c r="AF83" t="s">
        <v>54</v>
      </c>
      <c r="AK83" t="s">
        <v>44</v>
      </c>
      <c r="AL83">
        <v>1</v>
      </c>
      <c r="AM83" t="s">
        <v>45</v>
      </c>
      <c r="AN83" t="s">
        <v>46</v>
      </c>
      <c r="AP83" t="s">
        <v>47</v>
      </c>
      <c r="AQ83">
        <v>60.044012257098402</v>
      </c>
      <c r="AR83" t="s">
        <v>48</v>
      </c>
    </row>
    <row r="84" spans="1:44" x14ac:dyDescent="0.35">
      <c r="A84">
        <v>81</v>
      </c>
      <c r="B84">
        <v>0</v>
      </c>
      <c r="C84">
        <v>81</v>
      </c>
      <c r="D84" t="s">
        <v>281</v>
      </c>
      <c r="E84" t="s">
        <v>282</v>
      </c>
      <c r="F84" t="s">
        <v>51</v>
      </c>
      <c r="G84" t="s">
        <v>52</v>
      </c>
      <c r="H84" t="s">
        <v>52</v>
      </c>
      <c r="I84">
        <v>2.4027476999908601</v>
      </c>
      <c r="J84" t="s">
        <v>54</v>
      </c>
      <c r="K84">
        <v>81</v>
      </c>
      <c r="L84">
        <v>0</v>
      </c>
      <c r="M84">
        <v>81</v>
      </c>
      <c r="N84">
        <v>0</v>
      </c>
      <c r="O84">
        <v>168.53391719999399</v>
      </c>
      <c r="T84">
        <v>10</v>
      </c>
      <c r="U84">
        <v>168.51654370001</v>
      </c>
      <c r="V84">
        <v>168.53391719999399</v>
      </c>
      <c r="W84">
        <v>168.53391719999399</v>
      </c>
      <c r="X84">
        <v>4.5288900000741698E-2</v>
      </c>
      <c r="Y84">
        <v>170.919401999999</v>
      </c>
      <c r="Z84" t="s">
        <v>281</v>
      </c>
      <c r="AA84" t="s">
        <v>282</v>
      </c>
      <c r="AB84" t="s">
        <v>51</v>
      </c>
      <c r="AC84" t="s">
        <v>52</v>
      </c>
      <c r="AD84" t="s">
        <v>52</v>
      </c>
      <c r="AE84" t="s">
        <v>283</v>
      </c>
      <c r="AF84" t="s">
        <v>54</v>
      </c>
      <c r="AK84" t="s">
        <v>44</v>
      </c>
      <c r="AL84">
        <v>1</v>
      </c>
      <c r="AM84" t="s">
        <v>45</v>
      </c>
      <c r="AN84" t="s">
        <v>46</v>
      </c>
      <c r="AP84" t="s">
        <v>47</v>
      </c>
      <c r="AQ84">
        <v>60.044012257098402</v>
      </c>
      <c r="AR84" t="s">
        <v>48</v>
      </c>
    </row>
    <row r="85" spans="1:44" x14ac:dyDescent="0.35">
      <c r="A85">
        <v>82</v>
      </c>
      <c r="B85">
        <v>0</v>
      </c>
      <c r="C85">
        <v>82</v>
      </c>
      <c r="D85" t="s">
        <v>284</v>
      </c>
      <c r="E85" t="s">
        <v>285</v>
      </c>
      <c r="F85" t="s">
        <v>51</v>
      </c>
      <c r="G85" t="s">
        <v>52</v>
      </c>
      <c r="H85" t="s">
        <v>52</v>
      </c>
      <c r="I85">
        <v>1.6634733999962901</v>
      </c>
      <c r="J85" t="s">
        <v>54</v>
      </c>
      <c r="K85">
        <v>82</v>
      </c>
      <c r="L85">
        <v>0</v>
      </c>
      <c r="M85">
        <v>82</v>
      </c>
      <c r="N85">
        <v>0</v>
      </c>
      <c r="O85">
        <v>170.95360949999301</v>
      </c>
      <c r="T85">
        <v>5</v>
      </c>
      <c r="U85">
        <v>170.941284</v>
      </c>
      <c r="V85">
        <v>170.95360949999301</v>
      </c>
      <c r="W85">
        <v>170.95360949999301</v>
      </c>
      <c r="X85">
        <v>2.1662700019078301E-2</v>
      </c>
      <c r="Y85">
        <v>172.60492690000601</v>
      </c>
      <c r="Z85" t="s">
        <v>284</v>
      </c>
      <c r="AA85" t="s">
        <v>285</v>
      </c>
      <c r="AB85" t="s">
        <v>51</v>
      </c>
      <c r="AC85" t="s">
        <v>52</v>
      </c>
      <c r="AD85" t="s">
        <v>52</v>
      </c>
      <c r="AE85" t="s">
        <v>286</v>
      </c>
      <c r="AF85" t="s">
        <v>54</v>
      </c>
      <c r="AK85" t="s">
        <v>44</v>
      </c>
      <c r="AL85">
        <v>1</v>
      </c>
      <c r="AM85" t="s">
        <v>45</v>
      </c>
      <c r="AN85" t="s">
        <v>46</v>
      </c>
      <c r="AP85" t="s">
        <v>47</v>
      </c>
      <c r="AQ85">
        <v>60.044012257098402</v>
      </c>
      <c r="AR85" t="s">
        <v>48</v>
      </c>
    </row>
    <row r="86" spans="1:44" x14ac:dyDescent="0.35">
      <c r="A86">
        <v>83</v>
      </c>
      <c r="B86">
        <v>0</v>
      </c>
      <c r="C86">
        <v>83</v>
      </c>
      <c r="D86" t="s">
        <v>287</v>
      </c>
      <c r="E86" t="s">
        <v>288</v>
      </c>
      <c r="F86" t="s">
        <v>51</v>
      </c>
      <c r="G86" t="s">
        <v>52</v>
      </c>
      <c r="H86" t="s">
        <v>52</v>
      </c>
      <c r="I86">
        <v>3.0594474000099501</v>
      </c>
      <c r="J86" t="s">
        <v>54</v>
      </c>
      <c r="K86">
        <v>83</v>
      </c>
      <c r="L86">
        <v>0</v>
      </c>
      <c r="M86">
        <v>83</v>
      </c>
      <c r="N86">
        <v>0</v>
      </c>
      <c r="O86">
        <v>172.68317560001699</v>
      </c>
      <c r="T86">
        <v>10</v>
      </c>
      <c r="U86">
        <v>172.66202849999499</v>
      </c>
      <c r="V86">
        <v>172.68317560001699</v>
      </c>
      <c r="W86">
        <v>172.68317560001699</v>
      </c>
      <c r="X86">
        <v>5.6755800003884298E-2</v>
      </c>
      <c r="Y86">
        <v>175.721572200011</v>
      </c>
      <c r="Z86" t="s">
        <v>287</v>
      </c>
      <c r="AA86" t="s">
        <v>288</v>
      </c>
      <c r="AB86" t="s">
        <v>51</v>
      </c>
      <c r="AC86" t="s">
        <v>52</v>
      </c>
      <c r="AD86" t="s">
        <v>52</v>
      </c>
      <c r="AE86" t="s">
        <v>289</v>
      </c>
      <c r="AF86" t="s">
        <v>54</v>
      </c>
      <c r="AK86" t="s">
        <v>44</v>
      </c>
      <c r="AL86">
        <v>1</v>
      </c>
      <c r="AM86" t="s">
        <v>45</v>
      </c>
      <c r="AN86" t="s">
        <v>46</v>
      </c>
      <c r="AP86" t="s">
        <v>47</v>
      </c>
      <c r="AQ86">
        <v>60.044012257098402</v>
      </c>
      <c r="AR86" t="s">
        <v>48</v>
      </c>
    </row>
    <row r="87" spans="1:44" x14ac:dyDescent="0.35">
      <c r="A87">
        <v>84</v>
      </c>
      <c r="B87">
        <v>0</v>
      </c>
      <c r="C87">
        <v>84</v>
      </c>
      <c r="D87" t="s">
        <v>128</v>
      </c>
      <c r="E87" t="s">
        <v>290</v>
      </c>
      <c r="F87" t="s">
        <v>51</v>
      </c>
      <c r="G87" t="s">
        <v>52</v>
      </c>
      <c r="H87" t="s">
        <v>52</v>
      </c>
      <c r="I87">
        <v>2.4085143999836802</v>
      </c>
      <c r="J87" t="s">
        <v>54</v>
      </c>
      <c r="K87">
        <v>84</v>
      </c>
      <c r="L87">
        <v>0</v>
      </c>
      <c r="M87">
        <v>84</v>
      </c>
      <c r="N87">
        <v>0</v>
      </c>
      <c r="O87">
        <v>175.782040699996</v>
      </c>
      <c r="T87">
        <v>10</v>
      </c>
      <c r="U87">
        <v>175.763474000006</v>
      </c>
      <c r="V87">
        <v>175.782040699996</v>
      </c>
      <c r="W87">
        <v>175.782040699996</v>
      </c>
      <c r="X87">
        <v>4.16957999987062E-2</v>
      </c>
      <c r="Y87">
        <v>178.17249560001</v>
      </c>
      <c r="Z87" t="s">
        <v>128</v>
      </c>
      <c r="AA87" t="s">
        <v>290</v>
      </c>
      <c r="AB87" t="s">
        <v>51</v>
      </c>
      <c r="AC87" t="s">
        <v>52</v>
      </c>
      <c r="AD87" t="s">
        <v>52</v>
      </c>
      <c r="AE87" t="s">
        <v>291</v>
      </c>
      <c r="AF87" t="s">
        <v>54</v>
      </c>
      <c r="AK87" t="s">
        <v>44</v>
      </c>
      <c r="AL87">
        <v>1</v>
      </c>
      <c r="AM87" t="s">
        <v>45</v>
      </c>
      <c r="AN87" t="s">
        <v>46</v>
      </c>
      <c r="AP87" t="s">
        <v>47</v>
      </c>
      <c r="AQ87">
        <v>60.044012257098402</v>
      </c>
      <c r="AR87" t="s">
        <v>48</v>
      </c>
    </row>
    <row r="88" spans="1:44" x14ac:dyDescent="0.35">
      <c r="A88">
        <v>85</v>
      </c>
      <c r="B88">
        <v>0</v>
      </c>
      <c r="C88">
        <v>85</v>
      </c>
      <c r="D88" t="s">
        <v>292</v>
      </c>
      <c r="E88" t="s">
        <v>293</v>
      </c>
      <c r="F88" t="s">
        <v>51</v>
      </c>
      <c r="G88" t="s">
        <v>52</v>
      </c>
      <c r="H88" t="s">
        <v>52</v>
      </c>
      <c r="I88">
        <v>2.3349225000129001</v>
      </c>
      <c r="J88" t="s">
        <v>54</v>
      </c>
      <c r="K88">
        <v>85</v>
      </c>
      <c r="L88">
        <v>0</v>
      </c>
      <c r="M88">
        <v>85</v>
      </c>
      <c r="N88">
        <v>0</v>
      </c>
      <c r="O88">
        <v>178.23517940001301</v>
      </c>
      <c r="T88">
        <v>10</v>
      </c>
      <c r="U88">
        <v>178.21751640000701</v>
      </c>
      <c r="V88">
        <v>178.23517940001301</v>
      </c>
      <c r="W88">
        <v>178.23517940001301</v>
      </c>
      <c r="X88">
        <v>4.4317199994111399E-2</v>
      </c>
      <c r="Y88">
        <v>180.55253879999501</v>
      </c>
      <c r="Z88" t="s">
        <v>292</v>
      </c>
      <c r="AA88" t="s">
        <v>293</v>
      </c>
      <c r="AB88" t="s">
        <v>51</v>
      </c>
      <c r="AC88" t="s">
        <v>52</v>
      </c>
      <c r="AD88" t="s">
        <v>52</v>
      </c>
      <c r="AE88" t="s">
        <v>294</v>
      </c>
      <c r="AF88" t="s">
        <v>54</v>
      </c>
      <c r="AK88" t="s">
        <v>44</v>
      </c>
      <c r="AL88">
        <v>1</v>
      </c>
      <c r="AM88" t="s">
        <v>45</v>
      </c>
      <c r="AN88" t="s">
        <v>46</v>
      </c>
      <c r="AP88" t="s">
        <v>47</v>
      </c>
      <c r="AQ88">
        <v>60.044012257098402</v>
      </c>
      <c r="AR88" t="s">
        <v>48</v>
      </c>
    </row>
    <row r="89" spans="1:44" x14ac:dyDescent="0.35">
      <c r="A89">
        <v>86</v>
      </c>
      <c r="B89">
        <v>0</v>
      </c>
      <c r="C89">
        <v>86</v>
      </c>
      <c r="D89" t="s">
        <v>295</v>
      </c>
      <c r="E89" t="s">
        <v>296</v>
      </c>
      <c r="F89" t="s">
        <v>51</v>
      </c>
      <c r="G89" t="s">
        <v>52</v>
      </c>
      <c r="H89" t="s">
        <v>52</v>
      </c>
      <c r="I89">
        <v>1.9293760000145901</v>
      </c>
      <c r="J89" t="s">
        <v>54</v>
      </c>
      <c r="K89">
        <v>86</v>
      </c>
      <c r="L89">
        <v>0</v>
      </c>
      <c r="M89">
        <v>86</v>
      </c>
      <c r="N89">
        <v>0</v>
      </c>
      <c r="O89">
        <v>180.61211560000001</v>
      </c>
      <c r="T89">
        <v>10</v>
      </c>
      <c r="U89">
        <v>180.59469540001001</v>
      </c>
      <c r="V89">
        <v>180.61211560000001</v>
      </c>
      <c r="W89">
        <v>180.61211560000001</v>
      </c>
      <c r="X89">
        <v>4.1942100011510698E-2</v>
      </c>
      <c r="Y89">
        <v>182.52419460000201</v>
      </c>
      <c r="Z89" t="s">
        <v>295</v>
      </c>
      <c r="AA89" t="s">
        <v>296</v>
      </c>
      <c r="AB89" t="s">
        <v>51</v>
      </c>
      <c r="AC89" t="s">
        <v>52</v>
      </c>
      <c r="AD89" t="s">
        <v>52</v>
      </c>
      <c r="AE89" t="s">
        <v>297</v>
      </c>
      <c r="AF89" t="s">
        <v>54</v>
      </c>
      <c r="AK89" t="s">
        <v>44</v>
      </c>
      <c r="AL89">
        <v>1</v>
      </c>
      <c r="AM89" t="s">
        <v>45</v>
      </c>
      <c r="AN89" t="s">
        <v>46</v>
      </c>
      <c r="AP89" t="s">
        <v>47</v>
      </c>
      <c r="AQ89">
        <v>60.044012257098402</v>
      </c>
      <c r="AR89" t="s">
        <v>48</v>
      </c>
    </row>
    <row r="90" spans="1:44" x14ac:dyDescent="0.35">
      <c r="A90">
        <v>87</v>
      </c>
      <c r="B90">
        <v>0</v>
      </c>
      <c r="C90">
        <v>87</v>
      </c>
      <c r="D90" t="s">
        <v>298</v>
      </c>
      <c r="E90" t="s">
        <v>299</v>
      </c>
      <c r="F90" t="s">
        <v>51</v>
      </c>
      <c r="G90" t="s">
        <v>52</v>
      </c>
      <c r="H90" t="s">
        <v>52</v>
      </c>
      <c r="I90">
        <v>3.4508976000070102</v>
      </c>
      <c r="J90" t="s">
        <v>54</v>
      </c>
      <c r="K90">
        <v>87</v>
      </c>
      <c r="L90">
        <v>0</v>
      </c>
      <c r="M90">
        <v>87</v>
      </c>
      <c r="N90">
        <v>0</v>
      </c>
      <c r="O90">
        <v>182.58837240000099</v>
      </c>
      <c r="T90">
        <v>10</v>
      </c>
      <c r="U90">
        <v>182.570247700001</v>
      </c>
      <c r="V90">
        <v>182.58837240000099</v>
      </c>
      <c r="W90">
        <v>182.58837240000099</v>
      </c>
      <c r="X90">
        <v>4.5840200007660301E-2</v>
      </c>
      <c r="Y90">
        <v>186.021286500006</v>
      </c>
      <c r="Z90" t="s">
        <v>298</v>
      </c>
      <c r="AA90" t="s">
        <v>299</v>
      </c>
      <c r="AB90" t="s">
        <v>51</v>
      </c>
      <c r="AC90" t="s">
        <v>52</v>
      </c>
      <c r="AD90" t="s">
        <v>52</v>
      </c>
      <c r="AE90" t="s">
        <v>300</v>
      </c>
      <c r="AF90" t="s">
        <v>54</v>
      </c>
      <c r="AK90" t="s">
        <v>44</v>
      </c>
      <c r="AL90">
        <v>1</v>
      </c>
      <c r="AM90" t="s">
        <v>45</v>
      </c>
      <c r="AN90" t="s">
        <v>46</v>
      </c>
      <c r="AP90" t="s">
        <v>47</v>
      </c>
      <c r="AQ90">
        <v>60.044012257098402</v>
      </c>
      <c r="AR90" t="s">
        <v>48</v>
      </c>
    </row>
    <row r="91" spans="1:44" x14ac:dyDescent="0.35">
      <c r="A91">
        <v>88</v>
      </c>
      <c r="B91">
        <v>0</v>
      </c>
      <c r="C91">
        <v>88</v>
      </c>
      <c r="D91" t="s">
        <v>167</v>
      </c>
      <c r="E91" t="s">
        <v>301</v>
      </c>
      <c r="F91" t="s">
        <v>51</v>
      </c>
      <c r="G91" t="s">
        <v>52</v>
      </c>
      <c r="H91" t="s">
        <v>52</v>
      </c>
      <c r="I91">
        <v>1.3268614000116901</v>
      </c>
      <c r="J91" t="s">
        <v>54</v>
      </c>
      <c r="K91">
        <v>88</v>
      </c>
      <c r="L91">
        <v>0</v>
      </c>
      <c r="M91">
        <v>88</v>
      </c>
      <c r="N91">
        <v>0</v>
      </c>
      <c r="O91">
        <v>186.05584439999001</v>
      </c>
      <c r="T91">
        <v>5</v>
      </c>
      <c r="U91">
        <v>186.04302650000301</v>
      </c>
      <c r="V91">
        <v>186.05584439999001</v>
      </c>
      <c r="W91">
        <v>186.05584439999001</v>
      </c>
      <c r="X91">
        <v>2.1490899991476901E-2</v>
      </c>
      <c r="Y91">
        <v>187.3700274</v>
      </c>
      <c r="Z91" t="s">
        <v>167</v>
      </c>
      <c r="AA91" t="s">
        <v>301</v>
      </c>
      <c r="AB91" t="s">
        <v>51</v>
      </c>
      <c r="AC91" t="s">
        <v>52</v>
      </c>
      <c r="AD91" t="s">
        <v>52</v>
      </c>
      <c r="AE91" t="s">
        <v>302</v>
      </c>
      <c r="AF91" t="s">
        <v>54</v>
      </c>
      <c r="AK91" t="s">
        <v>44</v>
      </c>
      <c r="AL91">
        <v>1</v>
      </c>
      <c r="AM91" t="s">
        <v>45</v>
      </c>
      <c r="AN91" t="s">
        <v>46</v>
      </c>
      <c r="AP91" t="s">
        <v>47</v>
      </c>
      <c r="AQ91">
        <v>60.044012257098402</v>
      </c>
      <c r="AR91" t="s">
        <v>48</v>
      </c>
    </row>
    <row r="92" spans="1:44" x14ac:dyDescent="0.35">
      <c r="A92">
        <v>89</v>
      </c>
      <c r="B92">
        <v>0</v>
      </c>
      <c r="C92">
        <v>89</v>
      </c>
      <c r="D92" t="s">
        <v>303</v>
      </c>
      <c r="E92" t="s">
        <v>304</v>
      </c>
      <c r="F92" t="s">
        <v>51</v>
      </c>
      <c r="G92" t="s">
        <v>52</v>
      </c>
      <c r="H92" t="s">
        <v>52</v>
      </c>
      <c r="I92">
        <v>2.7235970000037901</v>
      </c>
      <c r="J92" t="s">
        <v>54</v>
      </c>
      <c r="K92">
        <v>89</v>
      </c>
      <c r="L92">
        <v>0</v>
      </c>
      <c r="M92">
        <v>89</v>
      </c>
      <c r="N92">
        <v>0</v>
      </c>
      <c r="O92">
        <v>187.41012730001199</v>
      </c>
      <c r="T92">
        <v>5</v>
      </c>
      <c r="U92">
        <v>187.39685779999101</v>
      </c>
      <c r="V92">
        <v>187.41012730001199</v>
      </c>
      <c r="W92">
        <v>187.41012730001199</v>
      </c>
      <c r="X92">
        <v>2.6586799998767601E-2</v>
      </c>
      <c r="Y92">
        <v>190.12062530001199</v>
      </c>
      <c r="Z92" t="s">
        <v>303</v>
      </c>
      <c r="AA92" t="s">
        <v>304</v>
      </c>
      <c r="AB92" t="s">
        <v>51</v>
      </c>
      <c r="AC92" t="s">
        <v>52</v>
      </c>
      <c r="AD92" t="s">
        <v>52</v>
      </c>
      <c r="AE92" t="s">
        <v>305</v>
      </c>
      <c r="AF92" t="s">
        <v>54</v>
      </c>
      <c r="AK92" t="s">
        <v>44</v>
      </c>
      <c r="AL92">
        <v>1</v>
      </c>
      <c r="AM92" t="s">
        <v>45</v>
      </c>
      <c r="AN92" t="s">
        <v>46</v>
      </c>
      <c r="AP92" t="s">
        <v>47</v>
      </c>
      <c r="AQ92">
        <v>60.044012257098402</v>
      </c>
      <c r="AR92" t="s">
        <v>48</v>
      </c>
    </row>
    <row r="93" spans="1:44" x14ac:dyDescent="0.35">
      <c r="A93">
        <v>90</v>
      </c>
      <c r="B93">
        <v>0</v>
      </c>
      <c r="C93">
        <v>90</v>
      </c>
      <c r="D93" t="s">
        <v>306</v>
      </c>
      <c r="E93" t="s">
        <v>226</v>
      </c>
      <c r="F93" t="s">
        <v>51</v>
      </c>
      <c r="G93" t="s">
        <v>52</v>
      </c>
      <c r="H93" t="s">
        <v>52</v>
      </c>
      <c r="I93">
        <v>1.61591379999299</v>
      </c>
      <c r="J93" t="s">
        <v>54</v>
      </c>
      <c r="K93">
        <v>90</v>
      </c>
      <c r="L93">
        <v>0</v>
      </c>
      <c r="M93">
        <v>90</v>
      </c>
      <c r="N93">
        <v>0</v>
      </c>
      <c r="O93">
        <v>190.19425890001</v>
      </c>
      <c r="T93">
        <v>10</v>
      </c>
      <c r="U93">
        <v>190.17187660001201</v>
      </c>
      <c r="V93">
        <v>190.19425890001</v>
      </c>
      <c r="W93">
        <v>190.19425890001</v>
      </c>
      <c r="X93">
        <v>5.0970200012670802E-2</v>
      </c>
      <c r="Y93">
        <v>191.78792810000499</v>
      </c>
      <c r="Z93" t="s">
        <v>306</v>
      </c>
      <c r="AA93" t="s">
        <v>226</v>
      </c>
      <c r="AB93" t="s">
        <v>51</v>
      </c>
      <c r="AC93" t="s">
        <v>52</v>
      </c>
      <c r="AD93" t="s">
        <v>52</v>
      </c>
      <c r="AE93" t="s">
        <v>307</v>
      </c>
      <c r="AF93" t="s">
        <v>54</v>
      </c>
      <c r="AK93" t="s">
        <v>44</v>
      </c>
      <c r="AL93">
        <v>1</v>
      </c>
      <c r="AM93" t="s">
        <v>45</v>
      </c>
      <c r="AN93" t="s">
        <v>46</v>
      </c>
      <c r="AP93" t="s">
        <v>47</v>
      </c>
      <c r="AQ93">
        <v>60.044012257098402</v>
      </c>
      <c r="AR93" t="s">
        <v>48</v>
      </c>
    </row>
    <row r="94" spans="1:44" x14ac:dyDescent="0.35">
      <c r="A94">
        <v>91</v>
      </c>
      <c r="B94">
        <v>0</v>
      </c>
      <c r="C94">
        <v>91</v>
      </c>
      <c r="D94" t="s">
        <v>308</v>
      </c>
      <c r="E94" t="s">
        <v>309</v>
      </c>
      <c r="F94" t="s">
        <v>51</v>
      </c>
      <c r="G94" t="s">
        <v>52</v>
      </c>
      <c r="H94" t="s">
        <v>52</v>
      </c>
      <c r="I94">
        <v>1.8955607999814601</v>
      </c>
      <c r="J94" t="s">
        <v>54</v>
      </c>
      <c r="K94">
        <v>91</v>
      </c>
      <c r="L94">
        <v>0</v>
      </c>
      <c r="M94">
        <v>91</v>
      </c>
      <c r="N94">
        <v>0</v>
      </c>
      <c r="O94">
        <v>191.86046950001</v>
      </c>
      <c r="T94">
        <v>10</v>
      </c>
      <c r="U94">
        <v>191.840069099998</v>
      </c>
      <c r="V94">
        <v>191.86046950001</v>
      </c>
      <c r="W94">
        <v>191.86046950001</v>
      </c>
      <c r="X94">
        <v>5.1901799975894301E-2</v>
      </c>
      <c r="Y94">
        <v>193.73574140001401</v>
      </c>
      <c r="Z94" t="s">
        <v>308</v>
      </c>
      <c r="AA94" t="s">
        <v>309</v>
      </c>
      <c r="AB94" t="s">
        <v>51</v>
      </c>
      <c r="AC94" t="s">
        <v>52</v>
      </c>
      <c r="AD94" t="s">
        <v>52</v>
      </c>
      <c r="AE94" t="s">
        <v>310</v>
      </c>
      <c r="AF94" t="s">
        <v>54</v>
      </c>
      <c r="AK94" t="s">
        <v>44</v>
      </c>
      <c r="AL94">
        <v>1</v>
      </c>
      <c r="AM94" t="s">
        <v>45</v>
      </c>
      <c r="AN94" t="s">
        <v>46</v>
      </c>
      <c r="AP94" t="s">
        <v>47</v>
      </c>
      <c r="AQ94">
        <v>60.044012257098402</v>
      </c>
      <c r="AR94" t="s">
        <v>48</v>
      </c>
    </row>
    <row r="95" spans="1:44" x14ac:dyDescent="0.35">
      <c r="A95">
        <v>92</v>
      </c>
      <c r="B95">
        <v>0</v>
      </c>
      <c r="C95">
        <v>92</v>
      </c>
      <c r="D95" t="s">
        <v>311</v>
      </c>
      <c r="E95" t="s">
        <v>312</v>
      </c>
      <c r="F95" t="s">
        <v>51</v>
      </c>
      <c r="G95" t="s">
        <v>52</v>
      </c>
      <c r="H95" t="s">
        <v>52</v>
      </c>
      <c r="I95">
        <v>1.35357559999101</v>
      </c>
      <c r="J95" t="s">
        <v>54</v>
      </c>
      <c r="K95">
        <v>92</v>
      </c>
      <c r="L95">
        <v>0</v>
      </c>
      <c r="M95">
        <v>92</v>
      </c>
      <c r="N95">
        <v>0</v>
      </c>
      <c r="O95">
        <v>193.802540900011</v>
      </c>
      <c r="T95">
        <v>10</v>
      </c>
      <c r="U95">
        <v>193.78187130001601</v>
      </c>
      <c r="V95">
        <v>193.802540900011</v>
      </c>
      <c r="W95">
        <v>193.802540900011</v>
      </c>
      <c r="X95">
        <v>4.5900900004198698E-2</v>
      </c>
      <c r="Y95">
        <v>195.13554970000399</v>
      </c>
      <c r="Z95" t="s">
        <v>311</v>
      </c>
      <c r="AA95" t="s">
        <v>312</v>
      </c>
      <c r="AB95" t="s">
        <v>51</v>
      </c>
      <c r="AC95" t="s">
        <v>52</v>
      </c>
      <c r="AD95" t="s">
        <v>52</v>
      </c>
      <c r="AE95" t="s">
        <v>313</v>
      </c>
      <c r="AF95" t="s">
        <v>54</v>
      </c>
      <c r="AK95" t="s">
        <v>44</v>
      </c>
      <c r="AL95">
        <v>1</v>
      </c>
      <c r="AM95" t="s">
        <v>45</v>
      </c>
      <c r="AN95" t="s">
        <v>46</v>
      </c>
      <c r="AP95" t="s">
        <v>47</v>
      </c>
      <c r="AQ95">
        <v>60.044012257098402</v>
      </c>
      <c r="AR95" t="s">
        <v>48</v>
      </c>
    </row>
    <row r="96" spans="1:44" x14ac:dyDescent="0.35">
      <c r="A96">
        <v>93</v>
      </c>
      <c r="B96">
        <v>0</v>
      </c>
      <c r="C96">
        <v>93</v>
      </c>
      <c r="D96" t="s">
        <v>148</v>
      </c>
      <c r="E96" t="s">
        <v>73</v>
      </c>
      <c r="F96" t="s">
        <v>51</v>
      </c>
      <c r="G96" t="s">
        <v>52</v>
      </c>
      <c r="H96" t="s">
        <v>52</v>
      </c>
      <c r="I96">
        <v>1.4429184999899001</v>
      </c>
      <c r="J96" t="s">
        <v>54</v>
      </c>
      <c r="K96">
        <v>93</v>
      </c>
      <c r="L96">
        <v>0</v>
      </c>
      <c r="M96">
        <v>93</v>
      </c>
      <c r="N96">
        <v>0</v>
      </c>
      <c r="O96">
        <v>195.19688289999601</v>
      </c>
      <c r="T96">
        <v>10</v>
      </c>
      <c r="U96">
        <v>195.17925119999501</v>
      </c>
      <c r="V96">
        <v>195.19688289999601</v>
      </c>
      <c r="W96">
        <v>195.19688289999601</v>
      </c>
      <c r="X96">
        <v>4.3482899985974599E-2</v>
      </c>
      <c r="Y96">
        <v>196.622278199996</v>
      </c>
      <c r="Z96" t="s">
        <v>148</v>
      </c>
      <c r="AA96" t="s">
        <v>73</v>
      </c>
      <c r="AB96" t="s">
        <v>51</v>
      </c>
      <c r="AC96" t="s">
        <v>52</v>
      </c>
      <c r="AD96" t="s">
        <v>52</v>
      </c>
      <c r="AE96" t="s">
        <v>314</v>
      </c>
      <c r="AF96" t="s">
        <v>54</v>
      </c>
      <c r="AK96" t="s">
        <v>44</v>
      </c>
      <c r="AL96">
        <v>1</v>
      </c>
      <c r="AM96" t="s">
        <v>45</v>
      </c>
      <c r="AN96" t="s">
        <v>46</v>
      </c>
      <c r="AP96" t="s">
        <v>47</v>
      </c>
      <c r="AQ96">
        <v>60.044012257098402</v>
      </c>
      <c r="AR96" t="s">
        <v>48</v>
      </c>
    </row>
    <row r="97" spans="1:44" x14ac:dyDescent="0.35">
      <c r="A97">
        <v>94</v>
      </c>
      <c r="B97">
        <v>0</v>
      </c>
      <c r="C97">
        <v>94</v>
      </c>
      <c r="D97" t="s">
        <v>315</v>
      </c>
      <c r="E97" t="s">
        <v>316</v>
      </c>
      <c r="F97" t="s">
        <v>51</v>
      </c>
      <c r="G97" t="s">
        <v>52</v>
      </c>
      <c r="H97" t="s">
        <v>52</v>
      </c>
      <c r="I97">
        <v>2.29043040002579</v>
      </c>
      <c r="J97" t="s">
        <v>54</v>
      </c>
      <c r="K97">
        <v>94</v>
      </c>
      <c r="L97">
        <v>0</v>
      </c>
      <c r="M97">
        <v>94</v>
      </c>
      <c r="N97">
        <v>0</v>
      </c>
      <c r="O97">
        <v>196.68308730001399</v>
      </c>
      <c r="T97">
        <v>10</v>
      </c>
      <c r="U97">
        <v>196.66438500000999</v>
      </c>
      <c r="V97">
        <v>196.68308730001399</v>
      </c>
      <c r="W97">
        <v>196.68308730001399</v>
      </c>
      <c r="X97">
        <v>4.1853399976389399E-2</v>
      </c>
      <c r="Y97">
        <v>198.954940499999</v>
      </c>
      <c r="Z97" t="s">
        <v>315</v>
      </c>
      <c r="AA97" t="s">
        <v>316</v>
      </c>
      <c r="AB97" t="s">
        <v>51</v>
      </c>
      <c r="AC97" t="s">
        <v>52</v>
      </c>
      <c r="AD97" t="s">
        <v>52</v>
      </c>
      <c r="AE97" t="s">
        <v>317</v>
      </c>
      <c r="AF97" t="s">
        <v>54</v>
      </c>
      <c r="AK97" t="s">
        <v>44</v>
      </c>
      <c r="AL97">
        <v>1</v>
      </c>
      <c r="AM97" t="s">
        <v>45</v>
      </c>
      <c r="AN97" t="s">
        <v>46</v>
      </c>
      <c r="AP97" t="s">
        <v>47</v>
      </c>
      <c r="AQ97">
        <v>60.044012257098402</v>
      </c>
      <c r="AR97" t="s">
        <v>48</v>
      </c>
    </row>
    <row r="98" spans="1:44" x14ac:dyDescent="0.35">
      <c r="A98">
        <v>95</v>
      </c>
      <c r="B98">
        <v>0</v>
      </c>
      <c r="C98">
        <v>95</v>
      </c>
      <c r="D98" t="s">
        <v>318</v>
      </c>
      <c r="E98" t="s">
        <v>319</v>
      </c>
      <c r="F98" t="s">
        <v>51</v>
      </c>
      <c r="G98" t="s">
        <v>52</v>
      </c>
      <c r="H98" t="s">
        <v>52</v>
      </c>
      <c r="I98">
        <v>1.6861990999895999</v>
      </c>
      <c r="J98" t="s">
        <v>54</v>
      </c>
      <c r="K98">
        <v>95</v>
      </c>
      <c r="L98">
        <v>0</v>
      </c>
      <c r="M98">
        <v>95</v>
      </c>
      <c r="N98">
        <v>0</v>
      </c>
      <c r="O98">
        <v>198.99383620001001</v>
      </c>
      <c r="T98">
        <v>5</v>
      </c>
      <c r="U98">
        <v>198.98384900001099</v>
      </c>
      <c r="V98">
        <v>198.99383620001001</v>
      </c>
      <c r="W98">
        <v>198.99383620001001</v>
      </c>
      <c r="X98">
        <v>2.8671199979726201E-2</v>
      </c>
      <c r="Y98">
        <v>200.67014299999499</v>
      </c>
      <c r="Z98" t="s">
        <v>318</v>
      </c>
      <c r="AA98" t="s">
        <v>319</v>
      </c>
      <c r="AB98" t="s">
        <v>51</v>
      </c>
      <c r="AC98" t="s">
        <v>52</v>
      </c>
      <c r="AD98" t="s">
        <v>52</v>
      </c>
      <c r="AE98" t="s">
        <v>320</v>
      </c>
      <c r="AF98" t="s">
        <v>54</v>
      </c>
      <c r="AK98" t="s">
        <v>44</v>
      </c>
      <c r="AL98">
        <v>1</v>
      </c>
      <c r="AM98" t="s">
        <v>45</v>
      </c>
      <c r="AN98" t="s">
        <v>46</v>
      </c>
      <c r="AP98" t="s">
        <v>47</v>
      </c>
      <c r="AQ98">
        <v>60.044012257098402</v>
      </c>
      <c r="AR98" t="s">
        <v>48</v>
      </c>
    </row>
    <row r="99" spans="1:44" x14ac:dyDescent="0.35">
      <c r="A99">
        <v>96</v>
      </c>
      <c r="B99">
        <v>0</v>
      </c>
      <c r="C99">
        <v>96</v>
      </c>
      <c r="D99" t="s">
        <v>321</v>
      </c>
      <c r="E99" t="s">
        <v>322</v>
      </c>
      <c r="F99" t="s">
        <v>51</v>
      </c>
      <c r="G99" t="s">
        <v>52</v>
      </c>
      <c r="H99" t="s">
        <v>52</v>
      </c>
      <c r="I99">
        <v>1.55853169999318</v>
      </c>
      <c r="J99" t="s">
        <v>54</v>
      </c>
      <c r="K99">
        <v>96</v>
      </c>
      <c r="L99">
        <v>0</v>
      </c>
      <c r="M99">
        <v>96</v>
      </c>
      <c r="N99">
        <v>0</v>
      </c>
      <c r="O99">
        <v>200.70804029999999</v>
      </c>
      <c r="T99">
        <v>5</v>
      </c>
      <c r="U99">
        <v>200.69480719999399</v>
      </c>
      <c r="V99">
        <v>200.70804029999999</v>
      </c>
      <c r="W99">
        <v>200.70804029999999</v>
      </c>
      <c r="X99">
        <v>2.4490800016792401E-2</v>
      </c>
      <c r="Y99">
        <v>202.253491600014</v>
      </c>
      <c r="Z99" t="s">
        <v>321</v>
      </c>
      <c r="AA99" t="s">
        <v>322</v>
      </c>
      <c r="AB99" t="s">
        <v>51</v>
      </c>
      <c r="AC99" t="s">
        <v>52</v>
      </c>
      <c r="AD99" t="s">
        <v>52</v>
      </c>
      <c r="AE99" t="s">
        <v>323</v>
      </c>
      <c r="AF99" t="s">
        <v>54</v>
      </c>
      <c r="AK99" t="s">
        <v>44</v>
      </c>
      <c r="AL99">
        <v>1</v>
      </c>
      <c r="AM99" t="s">
        <v>45</v>
      </c>
      <c r="AN99" t="s">
        <v>46</v>
      </c>
      <c r="AP99" t="s">
        <v>47</v>
      </c>
      <c r="AQ99">
        <v>60.044012257098402</v>
      </c>
      <c r="AR99" t="s">
        <v>48</v>
      </c>
    </row>
    <row r="100" spans="1:44" x14ac:dyDescent="0.35">
      <c r="A100">
        <v>97</v>
      </c>
      <c r="B100">
        <v>0</v>
      </c>
      <c r="C100">
        <v>97</v>
      </c>
      <c r="D100" t="s">
        <v>324</v>
      </c>
      <c r="E100" t="s">
        <v>325</v>
      </c>
      <c r="F100" t="s">
        <v>51</v>
      </c>
      <c r="G100" t="s">
        <v>52</v>
      </c>
      <c r="H100" t="s">
        <v>52</v>
      </c>
      <c r="I100">
        <v>2.4245757999888098</v>
      </c>
      <c r="J100" t="s">
        <v>54</v>
      </c>
      <c r="K100">
        <v>97</v>
      </c>
      <c r="L100">
        <v>0</v>
      </c>
      <c r="M100">
        <v>97</v>
      </c>
      <c r="N100">
        <v>0</v>
      </c>
      <c r="O100">
        <v>202.29247509999499</v>
      </c>
      <c r="T100">
        <v>5</v>
      </c>
      <c r="U100">
        <v>202.280850200011</v>
      </c>
      <c r="V100">
        <v>202.29247509999499</v>
      </c>
      <c r="W100">
        <v>202.29247509999499</v>
      </c>
      <c r="X100">
        <v>2.70982999936677E-2</v>
      </c>
      <c r="Y100">
        <v>204.705607700016</v>
      </c>
      <c r="Z100" t="s">
        <v>324</v>
      </c>
      <c r="AA100" t="s">
        <v>325</v>
      </c>
      <c r="AB100" t="s">
        <v>51</v>
      </c>
      <c r="AC100" t="s">
        <v>52</v>
      </c>
      <c r="AD100" t="s">
        <v>52</v>
      </c>
      <c r="AE100" t="s">
        <v>326</v>
      </c>
      <c r="AF100" t="s">
        <v>54</v>
      </c>
      <c r="AK100" t="s">
        <v>44</v>
      </c>
      <c r="AL100">
        <v>1</v>
      </c>
      <c r="AM100" t="s">
        <v>45</v>
      </c>
      <c r="AN100" t="s">
        <v>46</v>
      </c>
      <c r="AP100" t="s">
        <v>47</v>
      </c>
      <c r="AQ100">
        <v>60.044012257098402</v>
      </c>
      <c r="AR100" t="s">
        <v>48</v>
      </c>
    </row>
    <row r="101" spans="1:44" x14ac:dyDescent="0.35">
      <c r="A101">
        <v>98</v>
      </c>
      <c r="B101">
        <v>0</v>
      </c>
      <c r="C101">
        <v>98</v>
      </c>
      <c r="D101" t="s">
        <v>119</v>
      </c>
      <c r="E101" t="s">
        <v>327</v>
      </c>
      <c r="F101" t="s">
        <v>51</v>
      </c>
      <c r="G101" t="s">
        <v>52</v>
      </c>
      <c r="H101" t="s">
        <v>52</v>
      </c>
      <c r="I101">
        <v>2.17067260001203</v>
      </c>
      <c r="J101" t="s">
        <v>54</v>
      </c>
      <c r="K101">
        <v>98</v>
      </c>
      <c r="L101">
        <v>0</v>
      </c>
      <c r="M101">
        <v>98</v>
      </c>
      <c r="N101">
        <v>0</v>
      </c>
      <c r="O101">
        <v>204.74586039999801</v>
      </c>
      <c r="T101">
        <v>5</v>
      </c>
      <c r="U101">
        <v>204.73445170000099</v>
      </c>
      <c r="V101">
        <v>204.74586039999801</v>
      </c>
      <c r="W101">
        <v>204.74586039999801</v>
      </c>
      <c r="X101">
        <v>2.8594400006113501E-2</v>
      </c>
      <c r="Y101">
        <v>206.905273800017</v>
      </c>
      <c r="Z101" t="s">
        <v>119</v>
      </c>
      <c r="AA101" t="s">
        <v>327</v>
      </c>
      <c r="AB101" t="s">
        <v>51</v>
      </c>
      <c r="AC101" t="s">
        <v>52</v>
      </c>
      <c r="AD101" t="s">
        <v>52</v>
      </c>
      <c r="AE101" t="s">
        <v>328</v>
      </c>
      <c r="AF101" t="s">
        <v>54</v>
      </c>
      <c r="AK101" t="s">
        <v>44</v>
      </c>
      <c r="AL101">
        <v>1</v>
      </c>
      <c r="AM101" t="s">
        <v>45</v>
      </c>
      <c r="AN101" t="s">
        <v>46</v>
      </c>
      <c r="AP101" t="s">
        <v>47</v>
      </c>
      <c r="AQ101">
        <v>60.044012257098402</v>
      </c>
      <c r="AR101" t="s">
        <v>48</v>
      </c>
    </row>
    <row r="102" spans="1:44" x14ac:dyDescent="0.35">
      <c r="A102">
        <v>99</v>
      </c>
      <c r="B102">
        <v>0</v>
      </c>
      <c r="C102">
        <v>99</v>
      </c>
      <c r="D102" t="s">
        <v>329</v>
      </c>
      <c r="E102" t="s">
        <v>185</v>
      </c>
      <c r="F102" t="s">
        <v>51</v>
      </c>
      <c r="G102" t="s">
        <v>52</v>
      </c>
      <c r="H102" t="s">
        <v>52</v>
      </c>
      <c r="I102">
        <v>2.5279649999865699</v>
      </c>
      <c r="J102" t="s">
        <v>54</v>
      </c>
      <c r="K102">
        <v>99</v>
      </c>
      <c r="L102">
        <v>0</v>
      </c>
      <c r="M102">
        <v>99</v>
      </c>
      <c r="N102">
        <v>0</v>
      </c>
      <c r="O102">
        <v>206.983632899995</v>
      </c>
      <c r="T102">
        <v>10</v>
      </c>
      <c r="U102">
        <v>206.95934430000401</v>
      </c>
      <c r="V102">
        <v>206.983632899995</v>
      </c>
      <c r="W102">
        <v>206.983632899995</v>
      </c>
      <c r="X102">
        <v>5.3742599993711303E-2</v>
      </c>
      <c r="Y102">
        <v>209.4874519</v>
      </c>
      <c r="Z102" t="s">
        <v>329</v>
      </c>
      <c r="AA102" t="s">
        <v>185</v>
      </c>
      <c r="AB102" t="s">
        <v>51</v>
      </c>
      <c r="AC102" t="s">
        <v>52</v>
      </c>
      <c r="AD102" t="s">
        <v>52</v>
      </c>
      <c r="AE102" t="s">
        <v>330</v>
      </c>
      <c r="AF102" t="s">
        <v>54</v>
      </c>
      <c r="AK102" t="s">
        <v>44</v>
      </c>
      <c r="AL102">
        <v>1</v>
      </c>
      <c r="AM102" t="s">
        <v>45</v>
      </c>
      <c r="AN102" t="s">
        <v>46</v>
      </c>
      <c r="AP102" t="s">
        <v>47</v>
      </c>
      <c r="AQ102">
        <v>60.044012257098402</v>
      </c>
      <c r="AR102" t="s">
        <v>48</v>
      </c>
    </row>
    <row r="103" spans="1:44" x14ac:dyDescent="0.35">
      <c r="A103">
        <v>100</v>
      </c>
      <c r="B103">
        <v>0</v>
      </c>
      <c r="C103">
        <v>100</v>
      </c>
      <c r="D103" t="s">
        <v>331</v>
      </c>
      <c r="E103" t="s">
        <v>332</v>
      </c>
      <c r="F103" t="s">
        <v>51</v>
      </c>
      <c r="G103" t="s">
        <v>52</v>
      </c>
      <c r="H103" t="s">
        <v>52</v>
      </c>
      <c r="I103">
        <v>1.6784365000203201</v>
      </c>
      <c r="J103" t="s">
        <v>54</v>
      </c>
      <c r="K103">
        <v>100</v>
      </c>
      <c r="L103">
        <v>0</v>
      </c>
      <c r="M103">
        <v>100</v>
      </c>
      <c r="N103">
        <v>0</v>
      </c>
      <c r="O103">
        <v>209.56096020000399</v>
      </c>
      <c r="T103">
        <v>10</v>
      </c>
      <c r="U103">
        <v>209.54072089999599</v>
      </c>
      <c r="V103">
        <v>209.56096020000399</v>
      </c>
      <c r="W103">
        <v>209.56096020000399</v>
      </c>
      <c r="X103">
        <v>5.29609000077471E-2</v>
      </c>
      <c r="Y103">
        <v>211.219294900016</v>
      </c>
      <c r="Z103" t="s">
        <v>331</v>
      </c>
      <c r="AA103" t="s">
        <v>332</v>
      </c>
      <c r="AB103" t="s">
        <v>51</v>
      </c>
      <c r="AC103" t="s">
        <v>52</v>
      </c>
      <c r="AD103" t="s">
        <v>52</v>
      </c>
      <c r="AE103" t="s">
        <v>333</v>
      </c>
      <c r="AF103" t="s">
        <v>54</v>
      </c>
      <c r="AK103" t="s">
        <v>44</v>
      </c>
      <c r="AL103">
        <v>1</v>
      </c>
      <c r="AM103" t="s">
        <v>45</v>
      </c>
      <c r="AN103" t="s">
        <v>46</v>
      </c>
      <c r="AP103" t="s">
        <v>47</v>
      </c>
      <c r="AQ103">
        <v>60.044012257098402</v>
      </c>
      <c r="AR103" t="s">
        <v>48</v>
      </c>
    </row>
    <row r="104" spans="1:44" x14ac:dyDescent="0.35">
      <c r="A104">
        <v>101</v>
      </c>
      <c r="B104">
        <v>0</v>
      </c>
      <c r="C104">
        <v>101</v>
      </c>
      <c r="D104" t="s">
        <v>334</v>
      </c>
      <c r="E104" t="s">
        <v>335</v>
      </c>
      <c r="F104" t="s">
        <v>51</v>
      </c>
      <c r="G104" t="s">
        <v>52</v>
      </c>
      <c r="H104" t="s">
        <v>52</v>
      </c>
      <c r="I104">
        <v>1.7922293000156</v>
      </c>
      <c r="J104" t="s">
        <v>54</v>
      </c>
      <c r="K104">
        <v>101</v>
      </c>
      <c r="L104">
        <v>0</v>
      </c>
      <c r="M104">
        <v>101</v>
      </c>
      <c r="N104">
        <v>0</v>
      </c>
      <c r="O104">
        <v>211.25890570000001</v>
      </c>
      <c r="T104">
        <v>5</v>
      </c>
      <c r="U104">
        <v>211.24555039999501</v>
      </c>
      <c r="V104">
        <v>211.25890570000001</v>
      </c>
      <c r="W104">
        <v>211.25890570000001</v>
      </c>
      <c r="X104">
        <v>2.5930899981176401E-2</v>
      </c>
      <c r="Y104">
        <v>213.03788129999799</v>
      </c>
      <c r="Z104" t="s">
        <v>334</v>
      </c>
      <c r="AA104" t="s">
        <v>335</v>
      </c>
      <c r="AB104" t="s">
        <v>51</v>
      </c>
      <c r="AC104" t="s">
        <v>52</v>
      </c>
      <c r="AD104" t="s">
        <v>52</v>
      </c>
      <c r="AE104" t="s">
        <v>336</v>
      </c>
      <c r="AF104" t="s">
        <v>54</v>
      </c>
      <c r="AK104" t="s">
        <v>44</v>
      </c>
      <c r="AL104">
        <v>1</v>
      </c>
      <c r="AM104" t="s">
        <v>45</v>
      </c>
      <c r="AN104" t="s">
        <v>46</v>
      </c>
      <c r="AP104" t="s">
        <v>47</v>
      </c>
      <c r="AQ104">
        <v>60.044012257098402</v>
      </c>
      <c r="AR104" t="s">
        <v>48</v>
      </c>
    </row>
    <row r="105" spans="1:44" x14ac:dyDescent="0.35">
      <c r="A105">
        <v>102</v>
      </c>
      <c r="B105">
        <v>0</v>
      </c>
      <c r="C105">
        <v>102</v>
      </c>
      <c r="D105" t="s">
        <v>106</v>
      </c>
      <c r="E105" t="s">
        <v>337</v>
      </c>
      <c r="F105" t="s">
        <v>51</v>
      </c>
      <c r="G105" t="s">
        <v>52</v>
      </c>
      <c r="H105" t="s">
        <v>52</v>
      </c>
      <c r="I105">
        <v>2.7974457000091202</v>
      </c>
      <c r="J105" t="s">
        <v>54</v>
      </c>
      <c r="K105">
        <v>102</v>
      </c>
      <c r="L105">
        <v>0</v>
      </c>
      <c r="M105">
        <v>102</v>
      </c>
      <c r="N105">
        <v>0</v>
      </c>
      <c r="O105">
        <v>213.10997680001299</v>
      </c>
      <c r="T105">
        <v>10</v>
      </c>
      <c r="U105">
        <v>213.08895269999601</v>
      </c>
      <c r="V105">
        <v>213.10997680001299</v>
      </c>
      <c r="W105">
        <v>213.10997680001299</v>
      </c>
      <c r="X105">
        <v>5.0896500004455399E-2</v>
      </c>
      <c r="Y105">
        <v>215.88650419999601</v>
      </c>
      <c r="Z105" t="s">
        <v>106</v>
      </c>
      <c r="AA105" t="s">
        <v>337</v>
      </c>
      <c r="AB105" t="s">
        <v>51</v>
      </c>
      <c r="AC105" t="s">
        <v>52</v>
      </c>
      <c r="AD105" t="s">
        <v>52</v>
      </c>
      <c r="AE105" t="s">
        <v>338</v>
      </c>
      <c r="AF105" t="s">
        <v>54</v>
      </c>
      <c r="AK105" t="s">
        <v>44</v>
      </c>
      <c r="AL105">
        <v>1</v>
      </c>
      <c r="AM105" t="s">
        <v>45</v>
      </c>
      <c r="AN105" t="s">
        <v>46</v>
      </c>
      <c r="AP105" t="s">
        <v>47</v>
      </c>
      <c r="AQ105">
        <v>60.044012257098402</v>
      </c>
      <c r="AR105" t="s">
        <v>48</v>
      </c>
    </row>
    <row r="106" spans="1:44" x14ac:dyDescent="0.35">
      <c r="A106">
        <v>103</v>
      </c>
      <c r="B106">
        <v>0</v>
      </c>
      <c r="C106">
        <v>103</v>
      </c>
      <c r="D106" t="s">
        <v>339</v>
      </c>
      <c r="E106" t="s">
        <v>340</v>
      </c>
      <c r="F106" t="s">
        <v>51</v>
      </c>
      <c r="G106" t="s">
        <v>52</v>
      </c>
      <c r="H106" t="s">
        <v>52</v>
      </c>
      <c r="I106">
        <v>1.8596275000018001</v>
      </c>
      <c r="J106" t="s">
        <v>54</v>
      </c>
      <c r="K106">
        <v>103</v>
      </c>
      <c r="L106">
        <v>0</v>
      </c>
      <c r="M106">
        <v>103</v>
      </c>
      <c r="N106">
        <v>0</v>
      </c>
      <c r="O106">
        <v>215.97217980001</v>
      </c>
      <c r="T106">
        <v>10</v>
      </c>
      <c r="U106">
        <v>215.94636339999801</v>
      </c>
      <c r="V106">
        <v>215.97217980001</v>
      </c>
      <c r="W106">
        <v>215.97217980001</v>
      </c>
      <c r="X106">
        <v>5.9638700011419098E-2</v>
      </c>
      <c r="Y106">
        <v>217.80615439999301</v>
      </c>
      <c r="Z106" t="s">
        <v>339</v>
      </c>
      <c r="AA106" t="s">
        <v>340</v>
      </c>
      <c r="AB106" t="s">
        <v>51</v>
      </c>
      <c r="AC106" t="s">
        <v>52</v>
      </c>
      <c r="AD106" t="s">
        <v>52</v>
      </c>
      <c r="AE106" t="s">
        <v>341</v>
      </c>
      <c r="AF106" t="s">
        <v>54</v>
      </c>
      <c r="AK106" t="s">
        <v>44</v>
      </c>
      <c r="AL106">
        <v>1</v>
      </c>
      <c r="AM106" t="s">
        <v>45</v>
      </c>
      <c r="AN106" t="s">
        <v>46</v>
      </c>
      <c r="AP106" t="s">
        <v>47</v>
      </c>
      <c r="AQ106">
        <v>60.044012257098402</v>
      </c>
      <c r="AR106" t="s">
        <v>48</v>
      </c>
    </row>
    <row r="107" spans="1:44" x14ac:dyDescent="0.35">
      <c r="A107">
        <v>104</v>
      </c>
      <c r="B107">
        <v>0</v>
      </c>
      <c r="C107">
        <v>104</v>
      </c>
      <c r="D107" t="s">
        <v>342</v>
      </c>
      <c r="E107" t="s">
        <v>343</v>
      </c>
      <c r="F107" t="s">
        <v>51</v>
      </c>
      <c r="G107" t="s">
        <v>52</v>
      </c>
      <c r="H107" t="s">
        <v>52</v>
      </c>
      <c r="I107">
        <v>1.7369005999935301</v>
      </c>
      <c r="J107" t="s">
        <v>54</v>
      </c>
      <c r="K107">
        <v>104</v>
      </c>
      <c r="L107">
        <v>0</v>
      </c>
      <c r="M107">
        <v>104</v>
      </c>
      <c r="N107">
        <v>0</v>
      </c>
      <c r="O107">
        <v>217.84523790000799</v>
      </c>
      <c r="T107">
        <v>5</v>
      </c>
      <c r="U107">
        <v>217.834273499989</v>
      </c>
      <c r="V107">
        <v>217.84523790000799</v>
      </c>
      <c r="W107">
        <v>217.84523790000799</v>
      </c>
      <c r="X107">
        <v>2.7766899991547599E-2</v>
      </c>
      <c r="Y107">
        <v>219.57130529999199</v>
      </c>
      <c r="Z107" t="s">
        <v>342</v>
      </c>
      <c r="AA107" t="s">
        <v>343</v>
      </c>
      <c r="AB107" t="s">
        <v>51</v>
      </c>
      <c r="AC107" t="s">
        <v>52</v>
      </c>
      <c r="AD107" t="s">
        <v>52</v>
      </c>
      <c r="AE107" t="s">
        <v>344</v>
      </c>
      <c r="AF107" t="s">
        <v>54</v>
      </c>
      <c r="AK107" t="s">
        <v>44</v>
      </c>
      <c r="AL107">
        <v>1</v>
      </c>
      <c r="AM107" t="s">
        <v>45</v>
      </c>
      <c r="AN107" t="s">
        <v>46</v>
      </c>
      <c r="AP107" t="s">
        <v>47</v>
      </c>
      <c r="AQ107">
        <v>60.044012257098402</v>
      </c>
      <c r="AR107" t="s">
        <v>48</v>
      </c>
    </row>
    <row r="108" spans="1:44" x14ac:dyDescent="0.35">
      <c r="A108">
        <v>105</v>
      </c>
      <c r="B108">
        <v>0</v>
      </c>
      <c r="C108">
        <v>105</v>
      </c>
      <c r="D108" t="s">
        <v>70</v>
      </c>
      <c r="E108" t="s">
        <v>345</v>
      </c>
      <c r="F108" t="s">
        <v>51</v>
      </c>
      <c r="G108" t="s">
        <v>52</v>
      </c>
      <c r="H108" t="s">
        <v>52</v>
      </c>
      <c r="I108">
        <v>1.88027480000164</v>
      </c>
      <c r="J108" t="s">
        <v>54</v>
      </c>
      <c r="K108">
        <v>105</v>
      </c>
      <c r="L108">
        <v>0</v>
      </c>
      <c r="M108">
        <v>105</v>
      </c>
      <c r="N108">
        <v>0</v>
      </c>
      <c r="O108">
        <v>219.645299700001</v>
      </c>
      <c r="T108">
        <v>10</v>
      </c>
      <c r="U108">
        <v>219.62215050001299</v>
      </c>
      <c r="V108">
        <v>219.645299700001</v>
      </c>
      <c r="W108">
        <v>219.645299700001</v>
      </c>
      <c r="X108">
        <v>5.0544400000944699E-2</v>
      </c>
      <c r="Y108">
        <v>221.502565500006</v>
      </c>
      <c r="Z108" t="s">
        <v>70</v>
      </c>
      <c r="AA108" t="s">
        <v>345</v>
      </c>
      <c r="AB108" t="s">
        <v>51</v>
      </c>
      <c r="AC108" t="s">
        <v>52</v>
      </c>
      <c r="AD108" t="s">
        <v>52</v>
      </c>
      <c r="AE108" t="s">
        <v>346</v>
      </c>
      <c r="AF108" t="s">
        <v>54</v>
      </c>
      <c r="AK108" t="s">
        <v>44</v>
      </c>
      <c r="AL108">
        <v>1</v>
      </c>
      <c r="AM108" t="s">
        <v>45</v>
      </c>
      <c r="AN108" t="s">
        <v>46</v>
      </c>
      <c r="AP108" t="s">
        <v>47</v>
      </c>
      <c r="AQ108">
        <v>60.044012257098402</v>
      </c>
      <c r="AR108" t="s">
        <v>48</v>
      </c>
    </row>
    <row r="109" spans="1:44" x14ac:dyDescent="0.35">
      <c r="A109">
        <v>106</v>
      </c>
      <c r="B109">
        <v>0</v>
      </c>
      <c r="C109">
        <v>106</v>
      </c>
      <c r="D109" t="s">
        <v>347</v>
      </c>
      <c r="E109" t="s">
        <v>348</v>
      </c>
      <c r="F109" t="s">
        <v>51</v>
      </c>
      <c r="G109" t="s">
        <v>52</v>
      </c>
      <c r="H109" t="s">
        <v>52</v>
      </c>
      <c r="I109">
        <v>1.6407368000072799</v>
      </c>
      <c r="J109" t="s">
        <v>54</v>
      </c>
      <c r="K109">
        <v>106</v>
      </c>
      <c r="L109">
        <v>0</v>
      </c>
      <c r="M109">
        <v>106</v>
      </c>
      <c r="N109">
        <v>0</v>
      </c>
      <c r="O109">
        <v>221.54583960000301</v>
      </c>
      <c r="T109">
        <v>5</v>
      </c>
      <c r="U109">
        <v>221.530430400016</v>
      </c>
      <c r="V109">
        <v>221.54583960000301</v>
      </c>
      <c r="W109">
        <v>221.54583960000301</v>
      </c>
      <c r="X109">
        <v>2.7641900000162398E-2</v>
      </c>
      <c r="Y109">
        <v>223.17132200000901</v>
      </c>
      <c r="Z109" t="s">
        <v>347</v>
      </c>
      <c r="AA109" t="s">
        <v>348</v>
      </c>
      <c r="AB109" t="s">
        <v>51</v>
      </c>
      <c r="AC109" t="s">
        <v>52</v>
      </c>
      <c r="AD109" t="s">
        <v>52</v>
      </c>
      <c r="AE109" t="s">
        <v>349</v>
      </c>
      <c r="AF109" t="s">
        <v>54</v>
      </c>
      <c r="AK109" t="s">
        <v>44</v>
      </c>
      <c r="AL109">
        <v>1</v>
      </c>
      <c r="AM109" t="s">
        <v>45</v>
      </c>
      <c r="AN109" t="s">
        <v>46</v>
      </c>
      <c r="AP109" t="s">
        <v>47</v>
      </c>
      <c r="AQ109">
        <v>60.044012257098402</v>
      </c>
      <c r="AR109" t="s">
        <v>48</v>
      </c>
    </row>
    <row r="110" spans="1:44" x14ac:dyDescent="0.35">
      <c r="A110">
        <v>107</v>
      </c>
      <c r="B110">
        <v>0</v>
      </c>
      <c r="C110">
        <v>107</v>
      </c>
      <c r="D110" t="s">
        <v>350</v>
      </c>
      <c r="E110" t="s">
        <v>351</v>
      </c>
      <c r="F110" t="s">
        <v>51</v>
      </c>
      <c r="G110" t="s">
        <v>52</v>
      </c>
      <c r="H110" t="s">
        <v>52</v>
      </c>
      <c r="I110">
        <v>2.0399429000099101</v>
      </c>
      <c r="J110" t="s">
        <v>54</v>
      </c>
      <c r="K110">
        <v>107</v>
      </c>
      <c r="L110">
        <v>0</v>
      </c>
      <c r="M110">
        <v>107</v>
      </c>
      <c r="N110">
        <v>0</v>
      </c>
      <c r="O110">
        <v>223.20980089998901</v>
      </c>
      <c r="T110">
        <v>5</v>
      </c>
      <c r="U110">
        <v>223.19777950001199</v>
      </c>
      <c r="V110">
        <v>223.20980089998901</v>
      </c>
      <c r="W110">
        <v>223.20980089998901</v>
      </c>
      <c r="X110">
        <v>2.6155799976550001E-2</v>
      </c>
      <c r="Y110">
        <v>225.23785930001699</v>
      </c>
      <c r="Z110" t="s">
        <v>350</v>
      </c>
      <c r="AA110" t="s">
        <v>351</v>
      </c>
      <c r="AB110" t="s">
        <v>51</v>
      </c>
      <c r="AC110" t="s">
        <v>52</v>
      </c>
      <c r="AD110" t="s">
        <v>52</v>
      </c>
      <c r="AE110" t="s">
        <v>352</v>
      </c>
      <c r="AF110" t="s">
        <v>54</v>
      </c>
      <c r="AK110" t="s">
        <v>44</v>
      </c>
      <c r="AL110">
        <v>1</v>
      </c>
      <c r="AM110" t="s">
        <v>45</v>
      </c>
      <c r="AN110" t="s">
        <v>46</v>
      </c>
      <c r="AP110" t="s">
        <v>47</v>
      </c>
      <c r="AQ110">
        <v>60.044012257098402</v>
      </c>
      <c r="AR110" t="s">
        <v>48</v>
      </c>
    </row>
    <row r="111" spans="1:44" x14ac:dyDescent="0.35">
      <c r="A111">
        <v>108</v>
      </c>
      <c r="B111">
        <v>0</v>
      </c>
      <c r="C111">
        <v>108</v>
      </c>
      <c r="D111" t="s">
        <v>353</v>
      </c>
      <c r="E111" t="s">
        <v>354</v>
      </c>
      <c r="F111" t="s">
        <v>51</v>
      </c>
      <c r="G111" t="s">
        <v>52</v>
      </c>
      <c r="H111" t="s">
        <v>52</v>
      </c>
      <c r="I111">
        <v>3.66700099999434</v>
      </c>
      <c r="J111" t="s">
        <v>54</v>
      </c>
      <c r="K111">
        <v>108</v>
      </c>
      <c r="L111">
        <v>0</v>
      </c>
      <c r="M111">
        <v>108</v>
      </c>
      <c r="N111">
        <v>0</v>
      </c>
      <c r="O111">
        <v>225.309849799989</v>
      </c>
      <c r="T111">
        <v>10</v>
      </c>
      <c r="U111">
        <v>225.28810410000699</v>
      </c>
      <c r="V111">
        <v>225.309849799989</v>
      </c>
      <c r="W111">
        <v>225.309849799989</v>
      </c>
      <c r="X111">
        <v>4.9966300022788297E-2</v>
      </c>
      <c r="Y111">
        <v>228.95527500001401</v>
      </c>
      <c r="Z111" t="s">
        <v>353</v>
      </c>
      <c r="AA111" t="s">
        <v>354</v>
      </c>
      <c r="AB111" t="s">
        <v>51</v>
      </c>
      <c r="AC111" t="s">
        <v>52</v>
      </c>
      <c r="AD111" t="s">
        <v>52</v>
      </c>
      <c r="AE111" t="s">
        <v>355</v>
      </c>
      <c r="AF111" t="s">
        <v>54</v>
      </c>
      <c r="AK111" t="s">
        <v>44</v>
      </c>
      <c r="AL111">
        <v>1</v>
      </c>
      <c r="AM111" t="s">
        <v>45</v>
      </c>
      <c r="AN111" t="s">
        <v>46</v>
      </c>
      <c r="AP111" t="s">
        <v>47</v>
      </c>
      <c r="AQ111">
        <v>60.044012257098402</v>
      </c>
      <c r="AR111" t="s">
        <v>48</v>
      </c>
    </row>
    <row r="112" spans="1:44" x14ac:dyDescent="0.35">
      <c r="A112">
        <v>109</v>
      </c>
      <c r="B112">
        <v>0</v>
      </c>
      <c r="C112">
        <v>109</v>
      </c>
      <c r="D112" t="s">
        <v>356</v>
      </c>
      <c r="E112" t="s">
        <v>357</v>
      </c>
      <c r="F112" t="s">
        <v>51</v>
      </c>
      <c r="G112" t="s">
        <v>52</v>
      </c>
      <c r="H112" t="s">
        <v>52</v>
      </c>
      <c r="I112">
        <v>1.7374162999913001</v>
      </c>
      <c r="J112" t="s">
        <v>54</v>
      </c>
      <c r="K112">
        <v>109</v>
      </c>
      <c r="L112">
        <v>0</v>
      </c>
      <c r="M112">
        <v>109</v>
      </c>
      <c r="N112">
        <v>0</v>
      </c>
      <c r="O112">
        <v>228.992682100011</v>
      </c>
      <c r="T112">
        <v>5</v>
      </c>
      <c r="U112">
        <v>228.98123110001299</v>
      </c>
      <c r="V112">
        <v>228.992682100011</v>
      </c>
      <c r="W112">
        <v>228.992682100011</v>
      </c>
      <c r="X112">
        <v>2.53609000064898E-2</v>
      </c>
      <c r="Y112">
        <v>230.719000899989</v>
      </c>
      <c r="Z112" t="s">
        <v>356</v>
      </c>
      <c r="AA112" t="s">
        <v>357</v>
      </c>
      <c r="AB112" t="s">
        <v>51</v>
      </c>
      <c r="AC112" t="s">
        <v>52</v>
      </c>
      <c r="AD112" t="s">
        <v>52</v>
      </c>
      <c r="AE112" t="s">
        <v>358</v>
      </c>
      <c r="AF112" t="s">
        <v>54</v>
      </c>
      <c r="AK112" t="s">
        <v>44</v>
      </c>
      <c r="AL112">
        <v>1</v>
      </c>
      <c r="AM112" t="s">
        <v>45</v>
      </c>
      <c r="AN112" t="s">
        <v>46</v>
      </c>
      <c r="AP112" t="s">
        <v>47</v>
      </c>
      <c r="AQ112">
        <v>60.044012257098402</v>
      </c>
      <c r="AR112" t="s">
        <v>48</v>
      </c>
    </row>
    <row r="113" spans="1:44" x14ac:dyDescent="0.35">
      <c r="A113">
        <v>110</v>
      </c>
      <c r="B113">
        <v>0</v>
      </c>
      <c r="C113">
        <v>110</v>
      </c>
      <c r="D113" t="s">
        <v>131</v>
      </c>
      <c r="E113" t="s">
        <v>359</v>
      </c>
      <c r="F113" t="s">
        <v>51</v>
      </c>
      <c r="G113" t="s">
        <v>52</v>
      </c>
      <c r="H113" t="s">
        <v>52</v>
      </c>
      <c r="I113">
        <v>2.4612652999931002</v>
      </c>
      <c r="J113" t="s">
        <v>54</v>
      </c>
      <c r="K113">
        <v>110</v>
      </c>
      <c r="L113">
        <v>0</v>
      </c>
      <c r="M113">
        <v>110</v>
      </c>
      <c r="N113">
        <v>0</v>
      </c>
      <c r="O113">
        <v>230.75624789998901</v>
      </c>
      <c r="T113">
        <v>5</v>
      </c>
      <c r="U113">
        <v>230.742805199988</v>
      </c>
      <c r="V113">
        <v>230.75624789998901</v>
      </c>
      <c r="W113">
        <v>230.75624789998901</v>
      </c>
      <c r="X113">
        <v>2.35773000167682E-2</v>
      </c>
      <c r="Y113">
        <v>233.20423050000599</v>
      </c>
      <c r="Z113" t="s">
        <v>131</v>
      </c>
      <c r="AA113" t="s">
        <v>359</v>
      </c>
      <c r="AB113" t="s">
        <v>51</v>
      </c>
      <c r="AC113" t="s">
        <v>52</v>
      </c>
      <c r="AD113" t="s">
        <v>52</v>
      </c>
      <c r="AE113" t="s">
        <v>360</v>
      </c>
      <c r="AF113" t="s">
        <v>54</v>
      </c>
      <c r="AK113" t="s">
        <v>44</v>
      </c>
      <c r="AL113">
        <v>1</v>
      </c>
      <c r="AM113" t="s">
        <v>45</v>
      </c>
      <c r="AN113" t="s">
        <v>46</v>
      </c>
      <c r="AP113" t="s">
        <v>47</v>
      </c>
      <c r="AQ113">
        <v>60.044012257098402</v>
      </c>
      <c r="AR113" t="s">
        <v>48</v>
      </c>
    </row>
    <row r="114" spans="1:44" x14ac:dyDescent="0.35">
      <c r="A114">
        <v>111</v>
      </c>
      <c r="B114">
        <v>0</v>
      </c>
      <c r="C114">
        <v>111</v>
      </c>
      <c r="D114" t="s">
        <v>361</v>
      </c>
      <c r="E114" t="s">
        <v>362</v>
      </c>
      <c r="F114" t="s">
        <v>51</v>
      </c>
      <c r="G114" t="s">
        <v>52</v>
      </c>
      <c r="H114" t="s">
        <v>52</v>
      </c>
      <c r="I114">
        <v>1.91315400000894</v>
      </c>
      <c r="J114" t="s">
        <v>54</v>
      </c>
      <c r="K114">
        <v>111</v>
      </c>
      <c r="L114">
        <v>0</v>
      </c>
      <c r="M114">
        <v>111</v>
      </c>
      <c r="N114">
        <v>0</v>
      </c>
      <c r="O114">
        <v>233.27711719999201</v>
      </c>
      <c r="T114">
        <v>10</v>
      </c>
      <c r="U114">
        <v>233.256274100014</v>
      </c>
      <c r="V114">
        <v>233.27711719999201</v>
      </c>
      <c r="W114">
        <v>233.27711719999201</v>
      </c>
      <c r="X114">
        <v>5.1753699983237297E-2</v>
      </c>
      <c r="Y114">
        <v>235.16959370000399</v>
      </c>
      <c r="Z114" t="s">
        <v>361</v>
      </c>
      <c r="AA114" t="s">
        <v>362</v>
      </c>
      <c r="AB114" t="s">
        <v>51</v>
      </c>
      <c r="AC114" t="s">
        <v>52</v>
      </c>
      <c r="AD114" t="s">
        <v>52</v>
      </c>
      <c r="AE114" t="s">
        <v>363</v>
      </c>
      <c r="AF114" t="s">
        <v>54</v>
      </c>
      <c r="AK114" t="s">
        <v>44</v>
      </c>
      <c r="AL114">
        <v>1</v>
      </c>
      <c r="AM114" t="s">
        <v>45</v>
      </c>
      <c r="AN114" t="s">
        <v>46</v>
      </c>
      <c r="AP114" t="s">
        <v>47</v>
      </c>
      <c r="AQ114">
        <v>60.044012257098402</v>
      </c>
      <c r="AR114" t="s">
        <v>48</v>
      </c>
    </row>
    <row r="115" spans="1:44" x14ac:dyDescent="0.35">
      <c r="A115">
        <v>112</v>
      </c>
      <c r="B115">
        <v>0</v>
      </c>
      <c r="C115">
        <v>112</v>
      </c>
      <c r="D115" t="s">
        <v>364</v>
      </c>
      <c r="E115" t="s">
        <v>365</v>
      </c>
      <c r="F115" t="s">
        <v>51</v>
      </c>
      <c r="G115" t="s">
        <v>52</v>
      </c>
      <c r="H115" t="s">
        <v>52</v>
      </c>
      <c r="I115">
        <v>1.61652720000711</v>
      </c>
      <c r="J115" t="s">
        <v>54</v>
      </c>
      <c r="K115">
        <v>112</v>
      </c>
      <c r="L115">
        <v>0</v>
      </c>
      <c r="M115">
        <v>112</v>
      </c>
      <c r="N115">
        <v>0</v>
      </c>
      <c r="O115">
        <v>235.240664300014</v>
      </c>
      <c r="T115">
        <v>10</v>
      </c>
      <c r="U115">
        <v>235.22133339999701</v>
      </c>
      <c r="V115">
        <v>235.240664300014</v>
      </c>
      <c r="W115">
        <v>235.240664300014</v>
      </c>
      <c r="X115">
        <v>5.1445999997667899E-2</v>
      </c>
      <c r="Y115">
        <v>236.838029300008</v>
      </c>
      <c r="Z115" t="s">
        <v>364</v>
      </c>
      <c r="AA115" t="s">
        <v>365</v>
      </c>
      <c r="AB115" t="s">
        <v>51</v>
      </c>
      <c r="AC115" t="s">
        <v>52</v>
      </c>
      <c r="AD115" t="s">
        <v>52</v>
      </c>
      <c r="AE115" t="s">
        <v>366</v>
      </c>
      <c r="AF115" t="s">
        <v>54</v>
      </c>
      <c r="AK115" t="s">
        <v>44</v>
      </c>
      <c r="AL115">
        <v>1</v>
      </c>
      <c r="AM115" t="s">
        <v>45</v>
      </c>
      <c r="AN115" t="s">
        <v>46</v>
      </c>
      <c r="AP115" t="s">
        <v>47</v>
      </c>
      <c r="AQ115">
        <v>60.044012257098402</v>
      </c>
      <c r="AR115" t="s">
        <v>48</v>
      </c>
    </row>
    <row r="116" spans="1:44" x14ac:dyDescent="0.35">
      <c r="A116">
        <v>113</v>
      </c>
      <c r="B116">
        <v>0</v>
      </c>
      <c r="C116">
        <v>113</v>
      </c>
      <c r="D116" t="s">
        <v>367</v>
      </c>
      <c r="E116" t="s">
        <v>368</v>
      </c>
      <c r="F116" t="s">
        <v>51</v>
      </c>
      <c r="G116" t="s">
        <v>52</v>
      </c>
      <c r="H116" t="s">
        <v>52</v>
      </c>
      <c r="I116">
        <v>1.9064579000114401</v>
      </c>
      <c r="J116" t="s">
        <v>54</v>
      </c>
      <c r="K116">
        <v>113</v>
      </c>
      <c r="L116">
        <v>0</v>
      </c>
      <c r="M116">
        <v>113</v>
      </c>
      <c r="N116">
        <v>0</v>
      </c>
      <c r="O116">
        <v>236.87733139999901</v>
      </c>
      <c r="T116">
        <v>5</v>
      </c>
      <c r="U116">
        <v>236.864198399998</v>
      </c>
      <c r="V116">
        <v>236.87733139999901</v>
      </c>
      <c r="W116">
        <v>236.87733139999901</v>
      </c>
      <c r="X116">
        <v>2.5762200006283799E-2</v>
      </c>
      <c r="Y116">
        <v>238.770777199999</v>
      </c>
      <c r="Z116" t="s">
        <v>367</v>
      </c>
      <c r="AA116" t="s">
        <v>368</v>
      </c>
      <c r="AB116" t="s">
        <v>51</v>
      </c>
      <c r="AC116" t="s">
        <v>52</v>
      </c>
      <c r="AD116" t="s">
        <v>52</v>
      </c>
      <c r="AE116" t="s">
        <v>369</v>
      </c>
      <c r="AF116" t="s">
        <v>54</v>
      </c>
      <c r="AK116" t="s">
        <v>44</v>
      </c>
      <c r="AL116">
        <v>1</v>
      </c>
      <c r="AM116" t="s">
        <v>45</v>
      </c>
      <c r="AN116" t="s">
        <v>46</v>
      </c>
      <c r="AP116" t="s">
        <v>47</v>
      </c>
      <c r="AQ116">
        <v>60.044012257098402</v>
      </c>
      <c r="AR116" t="s">
        <v>48</v>
      </c>
    </row>
    <row r="117" spans="1:44" x14ac:dyDescent="0.35">
      <c r="A117">
        <v>114</v>
      </c>
      <c r="B117">
        <v>0</v>
      </c>
      <c r="C117">
        <v>114</v>
      </c>
      <c r="D117" t="s">
        <v>188</v>
      </c>
      <c r="E117" t="s">
        <v>370</v>
      </c>
      <c r="F117" t="s">
        <v>51</v>
      </c>
      <c r="G117" t="s">
        <v>52</v>
      </c>
      <c r="H117" t="s">
        <v>52</v>
      </c>
      <c r="I117">
        <v>1.68217710001044</v>
      </c>
      <c r="J117" t="s">
        <v>54</v>
      </c>
      <c r="K117">
        <v>114</v>
      </c>
      <c r="L117">
        <v>0</v>
      </c>
      <c r="M117">
        <v>114</v>
      </c>
      <c r="N117">
        <v>0</v>
      </c>
      <c r="O117">
        <v>238.84165220000401</v>
      </c>
      <c r="T117">
        <v>10</v>
      </c>
      <c r="U117">
        <v>238.81943020000401</v>
      </c>
      <c r="V117">
        <v>238.84165220000401</v>
      </c>
      <c r="W117">
        <v>238.84165220000401</v>
      </c>
      <c r="X117">
        <v>4.8436999990371897E-2</v>
      </c>
      <c r="Y117">
        <v>240.501714799989</v>
      </c>
      <c r="Z117" t="s">
        <v>188</v>
      </c>
      <c r="AA117" t="s">
        <v>370</v>
      </c>
      <c r="AB117" t="s">
        <v>51</v>
      </c>
      <c r="AC117" t="s">
        <v>52</v>
      </c>
      <c r="AD117" t="s">
        <v>52</v>
      </c>
      <c r="AE117" t="s">
        <v>371</v>
      </c>
      <c r="AF117" t="s">
        <v>54</v>
      </c>
      <c r="AK117" t="s">
        <v>44</v>
      </c>
      <c r="AL117">
        <v>1</v>
      </c>
      <c r="AM117" t="s">
        <v>45</v>
      </c>
      <c r="AN117" t="s">
        <v>46</v>
      </c>
      <c r="AP117" t="s">
        <v>47</v>
      </c>
      <c r="AQ117">
        <v>60.044012257098402</v>
      </c>
      <c r="AR117" t="s">
        <v>48</v>
      </c>
    </row>
    <row r="118" spans="1:44" x14ac:dyDescent="0.35">
      <c r="A118">
        <v>115</v>
      </c>
      <c r="B118">
        <v>0</v>
      </c>
      <c r="C118">
        <v>115</v>
      </c>
      <c r="D118" t="s">
        <v>137</v>
      </c>
      <c r="E118" t="s">
        <v>282</v>
      </c>
      <c r="F118" t="s">
        <v>51</v>
      </c>
      <c r="G118" t="s">
        <v>52</v>
      </c>
      <c r="H118" t="s">
        <v>52</v>
      </c>
      <c r="I118">
        <v>1.3179250999819401</v>
      </c>
      <c r="J118" t="s">
        <v>54</v>
      </c>
      <c r="K118">
        <v>115</v>
      </c>
      <c r="L118">
        <v>0</v>
      </c>
      <c r="M118">
        <v>115</v>
      </c>
      <c r="N118">
        <v>0</v>
      </c>
      <c r="O118">
        <v>240.57100719999201</v>
      </c>
      <c r="T118">
        <v>10</v>
      </c>
      <c r="U118">
        <v>240.551909800007</v>
      </c>
      <c r="V118">
        <v>240.57100719999201</v>
      </c>
      <c r="W118">
        <v>240.57100719999201</v>
      </c>
      <c r="X118">
        <v>4.99829000036697E-2</v>
      </c>
      <c r="Y118">
        <v>241.86993770001499</v>
      </c>
      <c r="Z118" t="s">
        <v>137</v>
      </c>
      <c r="AA118" t="s">
        <v>282</v>
      </c>
      <c r="AB118" t="s">
        <v>51</v>
      </c>
      <c r="AC118" t="s">
        <v>52</v>
      </c>
      <c r="AD118" t="s">
        <v>52</v>
      </c>
      <c r="AE118" t="s">
        <v>372</v>
      </c>
      <c r="AF118" t="s">
        <v>54</v>
      </c>
      <c r="AK118" t="s">
        <v>44</v>
      </c>
      <c r="AL118">
        <v>1</v>
      </c>
      <c r="AM118" t="s">
        <v>45</v>
      </c>
      <c r="AN118" t="s">
        <v>46</v>
      </c>
      <c r="AP118" t="s">
        <v>47</v>
      </c>
      <c r="AQ118">
        <v>60.044012257098402</v>
      </c>
      <c r="AR118" t="s">
        <v>48</v>
      </c>
    </row>
    <row r="119" spans="1:44" x14ac:dyDescent="0.35">
      <c r="A119">
        <v>116</v>
      </c>
      <c r="B119">
        <v>0</v>
      </c>
      <c r="C119">
        <v>116</v>
      </c>
      <c r="D119" t="s">
        <v>373</v>
      </c>
      <c r="E119" t="s">
        <v>374</v>
      </c>
      <c r="F119" t="s">
        <v>51</v>
      </c>
      <c r="G119" t="s">
        <v>52</v>
      </c>
      <c r="H119" t="s">
        <v>52</v>
      </c>
      <c r="I119">
        <v>1.42595239999354</v>
      </c>
      <c r="J119" t="s">
        <v>54</v>
      </c>
      <c r="K119">
        <v>116</v>
      </c>
      <c r="L119">
        <v>0</v>
      </c>
      <c r="M119">
        <v>116</v>
      </c>
      <c r="N119">
        <v>0</v>
      </c>
      <c r="O119">
        <v>241.90768060000801</v>
      </c>
      <c r="T119">
        <v>5</v>
      </c>
      <c r="U119">
        <v>241.894476399989</v>
      </c>
      <c r="V119">
        <v>241.90768060000801</v>
      </c>
      <c r="W119">
        <v>241.90768060000801</v>
      </c>
      <c r="X119">
        <v>2.4323599995113899E-2</v>
      </c>
      <c r="Y119">
        <v>243.32059769998801</v>
      </c>
      <c r="Z119" t="s">
        <v>373</v>
      </c>
      <c r="AA119" t="s">
        <v>374</v>
      </c>
      <c r="AB119" t="s">
        <v>51</v>
      </c>
      <c r="AC119" t="s">
        <v>52</v>
      </c>
      <c r="AD119" t="s">
        <v>52</v>
      </c>
      <c r="AE119" t="s">
        <v>375</v>
      </c>
      <c r="AF119" t="s">
        <v>54</v>
      </c>
      <c r="AK119" t="s">
        <v>44</v>
      </c>
      <c r="AL119">
        <v>1</v>
      </c>
      <c r="AM119" t="s">
        <v>45</v>
      </c>
      <c r="AN119" t="s">
        <v>46</v>
      </c>
      <c r="AP119" t="s">
        <v>47</v>
      </c>
      <c r="AQ119">
        <v>60.044012257098402</v>
      </c>
      <c r="AR119" t="s">
        <v>48</v>
      </c>
    </row>
    <row r="120" spans="1:44" x14ac:dyDescent="0.35">
      <c r="A120">
        <v>117</v>
      </c>
      <c r="B120">
        <v>0</v>
      </c>
      <c r="C120">
        <v>117</v>
      </c>
      <c r="D120" t="s">
        <v>376</v>
      </c>
      <c r="E120" t="s">
        <v>65</v>
      </c>
      <c r="F120" t="s">
        <v>51</v>
      </c>
      <c r="G120" t="s">
        <v>52</v>
      </c>
      <c r="H120" t="s">
        <v>52</v>
      </c>
      <c r="I120">
        <v>1.7068716000066999</v>
      </c>
      <c r="J120" t="s">
        <v>54</v>
      </c>
      <c r="K120">
        <v>117</v>
      </c>
      <c r="L120">
        <v>0</v>
      </c>
      <c r="M120">
        <v>117</v>
      </c>
      <c r="N120">
        <v>0</v>
      </c>
      <c r="O120">
        <v>243.360406199994</v>
      </c>
      <c r="T120">
        <v>5</v>
      </c>
      <c r="U120">
        <v>243.347324300004</v>
      </c>
      <c r="V120">
        <v>243.360406199994</v>
      </c>
      <c r="W120">
        <v>243.360406199994</v>
      </c>
      <c r="X120">
        <v>2.6431500009493899E-2</v>
      </c>
      <c r="Y120">
        <v>245.05433410001501</v>
      </c>
      <c r="Z120" t="s">
        <v>376</v>
      </c>
      <c r="AA120" t="s">
        <v>65</v>
      </c>
      <c r="AB120" t="s">
        <v>51</v>
      </c>
      <c r="AC120" t="s">
        <v>52</v>
      </c>
      <c r="AD120" t="s">
        <v>52</v>
      </c>
      <c r="AE120" t="s">
        <v>377</v>
      </c>
      <c r="AF120" t="s">
        <v>54</v>
      </c>
      <c r="AK120" t="s">
        <v>44</v>
      </c>
      <c r="AL120">
        <v>1</v>
      </c>
      <c r="AM120" t="s">
        <v>45</v>
      </c>
      <c r="AN120" t="s">
        <v>46</v>
      </c>
      <c r="AP120" t="s">
        <v>47</v>
      </c>
      <c r="AQ120">
        <v>60.044012257098402</v>
      </c>
      <c r="AR120" t="s">
        <v>48</v>
      </c>
    </row>
    <row r="121" spans="1:44" x14ac:dyDescent="0.35">
      <c r="A121">
        <v>118</v>
      </c>
      <c r="B121">
        <v>0</v>
      </c>
      <c r="C121">
        <v>118</v>
      </c>
      <c r="D121" t="s">
        <v>378</v>
      </c>
      <c r="E121" t="s">
        <v>379</v>
      </c>
      <c r="F121" t="s">
        <v>51</v>
      </c>
      <c r="G121" t="s">
        <v>52</v>
      </c>
      <c r="H121" t="s">
        <v>52</v>
      </c>
      <c r="I121">
        <v>1.7601091999967999</v>
      </c>
      <c r="J121" t="s">
        <v>54</v>
      </c>
      <c r="K121">
        <v>118</v>
      </c>
      <c r="L121">
        <v>0</v>
      </c>
      <c r="M121">
        <v>118</v>
      </c>
      <c r="N121">
        <v>0</v>
      </c>
      <c r="O121">
        <v>245.12648939998999</v>
      </c>
      <c r="T121">
        <v>10</v>
      </c>
      <c r="U121">
        <v>245.10802459999101</v>
      </c>
      <c r="V121">
        <v>245.12648939998999</v>
      </c>
      <c r="W121">
        <v>245.12648939998999</v>
      </c>
      <c r="X121">
        <v>5.3401599987410002E-2</v>
      </c>
      <c r="Y121">
        <v>246.86827360000399</v>
      </c>
      <c r="Z121" t="s">
        <v>378</v>
      </c>
      <c r="AA121" t="s">
        <v>379</v>
      </c>
      <c r="AB121" t="s">
        <v>51</v>
      </c>
      <c r="AC121" t="s">
        <v>52</v>
      </c>
      <c r="AD121" t="s">
        <v>52</v>
      </c>
      <c r="AE121" t="s">
        <v>380</v>
      </c>
      <c r="AF121" t="s">
        <v>54</v>
      </c>
      <c r="AK121" t="s">
        <v>44</v>
      </c>
      <c r="AL121">
        <v>1</v>
      </c>
      <c r="AM121" t="s">
        <v>45</v>
      </c>
      <c r="AN121" t="s">
        <v>46</v>
      </c>
      <c r="AP121" t="s">
        <v>47</v>
      </c>
      <c r="AQ121">
        <v>60.044012257098402</v>
      </c>
      <c r="AR121" t="s">
        <v>48</v>
      </c>
    </row>
    <row r="122" spans="1:44" x14ac:dyDescent="0.35">
      <c r="A122">
        <v>119</v>
      </c>
      <c r="B122">
        <v>0</v>
      </c>
      <c r="C122">
        <v>119</v>
      </c>
      <c r="D122" t="s">
        <v>254</v>
      </c>
      <c r="E122" t="s">
        <v>381</v>
      </c>
      <c r="F122" t="s">
        <v>51</v>
      </c>
      <c r="G122" t="s">
        <v>52</v>
      </c>
      <c r="H122" t="s">
        <v>52</v>
      </c>
      <c r="I122">
        <v>1.43687340000178</v>
      </c>
      <c r="J122" t="s">
        <v>54</v>
      </c>
      <c r="K122">
        <v>119</v>
      </c>
      <c r="L122">
        <v>0</v>
      </c>
      <c r="M122">
        <v>119</v>
      </c>
      <c r="N122">
        <v>0</v>
      </c>
      <c r="O122">
        <v>246.93369559998899</v>
      </c>
      <c r="T122">
        <v>10</v>
      </c>
      <c r="U122">
        <v>246.91566699999299</v>
      </c>
      <c r="V122">
        <v>246.93369559998899</v>
      </c>
      <c r="W122">
        <v>246.93369559998899</v>
      </c>
      <c r="X122">
        <v>4.7108300001127597E-2</v>
      </c>
      <c r="Y122">
        <v>248.35258559998999</v>
      </c>
      <c r="Z122" t="s">
        <v>254</v>
      </c>
      <c r="AA122" t="s">
        <v>381</v>
      </c>
      <c r="AB122" t="s">
        <v>51</v>
      </c>
      <c r="AC122" t="s">
        <v>52</v>
      </c>
      <c r="AD122" t="s">
        <v>52</v>
      </c>
      <c r="AE122" t="s">
        <v>382</v>
      </c>
      <c r="AF122" t="s">
        <v>54</v>
      </c>
      <c r="AK122" t="s">
        <v>44</v>
      </c>
      <c r="AL122">
        <v>1</v>
      </c>
      <c r="AM122" t="s">
        <v>45</v>
      </c>
      <c r="AN122" t="s">
        <v>46</v>
      </c>
      <c r="AP122" t="s">
        <v>47</v>
      </c>
      <c r="AQ122">
        <v>60.044012257098402</v>
      </c>
      <c r="AR122" t="s">
        <v>48</v>
      </c>
    </row>
    <row r="123" spans="1:44" x14ac:dyDescent="0.35">
      <c r="A123">
        <v>120</v>
      </c>
      <c r="B123">
        <v>0</v>
      </c>
      <c r="C123">
        <v>120</v>
      </c>
      <c r="D123" t="s">
        <v>383</v>
      </c>
      <c r="E123" t="s">
        <v>384</v>
      </c>
      <c r="F123" t="s">
        <v>51</v>
      </c>
      <c r="G123" t="s">
        <v>52</v>
      </c>
      <c r="H123" t="s">
        <v>52</v>
      </c>
      <c r="I123">
        <v>1.94511400000192</v>
      </c>
      <c r="J123" t="s">
        <v>54</v>
      </c>
      <c r="K123">
        <v>120</v>
      </c>
      <c r="L123">
        <v>0</v>
      </c>
      <c r="M123">
        <v>120</v>
      </c>
      <c r="N123">
        <v>0</v>
      </c>
      <c r="O123">
        <v>248.43289299999</v>
      </c>
      <c r="T123">
        <v>10</v>
      </c>
      <c r="U123">
        <v>248.407407499995</v>
      </c>
      <c r="V123">
        <v>248.43289299999</v>
      </c>
      <c r="W123">
        <v>248.43289299999</v>
      </c>
      <c r="X123">
        <v>5.4508600005647098E-2</v>
      </c>
      <c r="Y123">
        <v>250.352618200005</v>
      </c>
      <c r="Z123" t="s">
        <v>383</v>
      </c>
      <c r="AA123" t="s">
        <v>384</v>
      </c>
      <c r="AB123" t="s">
        <v>51</v>
      </c>
      <c r="AC123" t="s">
        <v>52</v>
      </c>
      <c r="AD123" t="s">
        <v>52</v>
      </c>
      <c r="AE123" t="s">
        <v>385</v>
      </c>
      <c r="AF123" t="s">
        <v>54</v>
      </c>
      <c r="AK123" t="s">
        <v>44</v>
      </c>
      <c r="AL123">
        <v>1</v>
      </c>
      <c r="AM123" t="s">
        <v>45</v>
      </c>
      <c r="AN123" t="s">
        <v>46</v>
      </c>
      <c r="AP123" t="s">
        <v>47</v>
      </c>
      <c r="AQ123">
        <v>60.044012257098402</v>
      </c>
      <c r="AR123" t="s">
        <v>48</v>
      </c>
    </row>
    <row r="124" spans="1:44" x14ac:dyDescent="0.35">
      <c r="A124">
        <v>121</v>
      </c>
      <c r="B124">
        <v>0</v>
      </c>
      <c r="C124">
        <v>121</v>
      </c>
      <c r="D124" t="s">
        <v>386</v>
      </c>
      <c r="E124" t="s">
        <v>387</v>
      </c>
      <c r="F124" t="s">
        <v>51</v>
      </c>
      <c r="G124" t="s">
        <v>52</v>
      </c>
      <c r="H124" t="s">
        <v>52</v>
      </c>
      <c r="I124">
        <v>2.2855221999925499</v>
      </c>
      <c r="J124" t="s">
        <v>54</v>
      </c>
      <c r="K124">
        <v>121</v>
      </c>
      <c r="L124">
        <v>0</v>
      </c>
      <c r="M124">
        <v>121</v>
      </c>
      <c r="N124">
        <v>0</v>
      </c>
      <c r="O124">
        <v>250.39469730001201</v>
      </c>
      <c r="T124">
        <v>5</v>
      </c>
      <c r="U124">
        <v>250.38285650001399</v>
      </c>
      <c r="V124">
        <v>250.39469730001201</v>
      </c>
      <c r="W124">
        <v>250.39469730001201</v>
      </c>
      <c r="X124">
        <v>3.0006400018464701E-2</v>
      </c>
      <c r="Y124">
        <v>252.66849340000701</v>
      </c>
      <c r="Z124" t="s">
        <v>386</v>
      </c>
      <c r="AA124" t="s">
        <v>387</v>
      </c>
      <c r="AB124" t="s">
        <v>51</v>
      </c>
      <c r="AC124" t="s">
        <v>52</v>
      </c>
      <c r="AD124" t="s">
        <v>52</v>
      </c>
      <c r="AE124" t="s">
        <v>388</v>
      </c>
      <c r="AF124" t="s">
        <v>54</v>
      </c>
      <c r="AK124" t="s">
        <v>44</v>
      </c>
      <c r="AL124">
        <v>1</v>
      </c>
      <c r="AM124" t="s">
        <v>45</v>
      </c>
      <c r="AN124" t="s">
        <v>46</v>
      </c>
      <c r="AP124" t="s">
        <v>47</v>
      </c>
      <c r="AQ124">
        <v>60.044012257098402</v>
      </c>
      <c r="AR124" t="s">
        <v>48</v>
      </c>
    </row>
    <row r="125" spans="1:44" x14ac:dyDescent="0.35">
      <c r="A125">
        <v>122</v>
      </c>
      <c r="B125">
        <v>0</v>
      </c>
      <c r="C125">
        <v>122</v>
      </c>
      <c r="D125" t="s">
        <v>389</v>
      </c>
      <c r="E125" t="s">
        <v>390</v>
      </c>
      <c r="F125" t="s">
        <v>51</v>
      </c>
      <c r="G125" t="s">
        <v>52</v>
      </c>
      <c r="H125" t="s">
        <v>52</v>
      </c>
      <c r="I125">
        <v>2.41903170000296</v>
      </c>
      <c r="J125" t="s">
        <v>54</v>
      </c>
      <c r="K125">
        <v>122</v>
      </c>
      <c r="L125">
        <v>0</v>
      </c>
      <c r="M125">
        <v>122</v>
      </c>
      <c r="N125">
        <v>0</v>
      </c>
      <c r="O125">
        <v>252.73811309999999</v>
      </c>
      <c r="T125">
        <v>10</v>
      </c>
      <c r="U125">
        <v>252.71582459998899</v>
      </c>
      <c r="V125">
        <v>252.73811309999999</v>
      </c>
      <c r="W125">
        <v>252.73811309999999</v>
      </c>
      <c r="X125">
        <v>4.7137799992924501E-2</v>
      </c>
      <c r="Y125">
        <v>255.13497420001599</v>
      </c>
      <c r="Z125" t="s">
        <v>389</v>
      </c>
      <c r="AA125" t="s">
        <v>390</v>
      </c>
      <c r="AB125" t="s">
        <v>51</v>
      </c>
      <c r="AC125" t="s">
        <v>52</v>
      </c>
      <c r="AD125" t="s">
        <v>52</v>
      </c>
      <c r="AE125" t="s">
        <v>391</v>
      </c>
      <c r="AF125" t="s">
        <v>54</v>
      </c>
      <c r="AK125" t="s">
        <v>44</v>
      </c>
      <c r="AL125">
        <v>1</v>
      </c>
      <c r="AM125" t="s">
        <v>45</v>
      </c>
      <c r="AN125" t="s">
        <v>46</v>
      </c>
      <c r="AP125" t="s">
        <v>47</v>
      </c>
      <c r="AQ125">
        <v>60.044012257098402</v>
      </c>
      <c r="AR125" t="s">
        <v>48</v>
      </c>
    </row>
    <row r="126" spans="1:44" x14ac:dyDescent="0.35">
      <c r="A126">
        <v>123</v>
      </c>
      <c r="B126">
        <v>0</v>
      </c>
      <c r="C126">
        <v>123</v>
      </c>
      <c r="D126" t="s">
        <v>392</v>
      </c>
      <c r="E126" t="s">
        <v>393</v>
      </c>
      <c r="F126" t="s">
        <v>51</v>
      </c>
      <c r="G126" t="s">
        <v>52</v>
      </c>
      <c r="H126" t="s">
        <v>52</v>
      </c>
      <c r="I126">
        <v>4.03681459999643</v>
      </c>
      <c r="J126" t="s">
        <v>54</v>
      </c>
      <c r="K126">
        <v>123</v>
      </c>
      <c r="L126">
        <v>0</v>
      </c>
      <c r="M126">
        <v>123</v>
      </c>
      <c r="N126">
        <v>0</v>
      </c>
      <c r="O126">
        <v>255.201877799991</v>
      </c>
      <c r="T126">
        <v>10</v>
      </c>
      <c r="U126">
        <v>255.18288420000999</v>
      </c>
      <c r="V126">
        <v>255.201877799991</v>
      </c>
      <c r="W126">
        <v>255.201877799991</v>
      </c>
      <c r="X126">
        <v>4.7632500005420297E-2</v>
      </c>
      <c r="Y126">
        <v>259.21981870001702</v>
      </c>
      <c r="Z126" t="s">
        <v>392</v>
      </c>
      <c r="AA126" t="s">
        <v>393</v>
      </c>
      <c r="AB126" t="s">
        <v>51</v>
      </c>
      <c r="AC126" t="s">
        <v>52</v>
      </c>
      <c r="AD126" t="s">
        <v>52</v>
      </c>
      <c r="AE126" t="s">
        <v>394</v>
      </c>
      <c r="AF126" t="s">
        <v>54</v>
      </c>
      <c r="AK126" t="s">
        <v>44</v>
      </c>
      <c r="AL126">
        <v>1</v>
      </c>
      <c r="AM126" t="s">
        <v>45</v>
      </c>
      <c r="AN126" t="s">
        <v>46</v>
      </c>
      <c r="AP126" t="s">
        <v>47</v>
      </c>
      <c r="AQ126">
        <v>60.044012257098402</v>
      </c>
      <c r="AR126" t="s">
        <v>48</v>
      </c>
    </row>
    <row r="127" spans="1:44" x14ac:dyDescent="0.35">
      <c r="A127">
        <v>124</v>
      </c>
      <c r="B127">
        <v>0</v>
      </c>
      <c r="C127">
        <v>124</v>
      </c>
      <c r="D127" t="s">
        <v>395</v>
      </c>
      <c r="E127" t="s">
        <v>308</v>
      </c>
      <c r="F127" t="s">
        <v>51</v>
      </c>
      <c r="G127" t="s">
        <v>52</v>
      </c>
      <c r="H127" t="s">
        <v>52</v>
      </c>
      <c r="I127">
        <v>4.38838250000844</v>
      </c>
      <c r="J127" t="s">
        <v>54</v>
      </c>
      <c r="K127">
        <v>124</v>
      </c>
      <c r="L127">
        <v>0</v>
      </c>
      <c r="M127">
        <v>124</v>
      </c>
      <c r="N127">
        <v>0</v>
      </c>
      <c r="O127">
        <v>259.26238110000799</v>
      </c>
      <c r="T127">
        <v>5</v>
      </c>
      <c r="U127">
        <v>259.24768930001301</v>
      </c>
      <c r="V127">
        <v>259.26238110000799</v>
      </c>
      <c r="W127">
        <v>259.26238110000799</v>
      </c>
      <c r="X127">
        <v>2.7562500006751998E-2</v>
      </c>
      <c r="Y127">
        <v>263.63617589999899</v>
      </c>
      <c r="Z127" t="s">
        <v>395</v>
      </c>
      <c r="AA127" t="s">
        <v>308</v>
      </c>
      <c r="AB127" t="s">
        <v>51</v>
      </c>
      <c r="AC127" t="s">
        <v>52</v>
      </c>
      <c r="AD127" t="s">
        <v>52</v>
      </c>
      <c r="AE127" t="s">
        <v>396</v>
      </c>
      <c r="AF127" t="s">
        <v>54</v>
      </c>
      <c r="AK127" t="s">
        <v>44</v>
      </c>
      <c r="AL127">
        <v>1</v>
      </c>
      <c r="AM127" t="s">
        <v>45</v>
      </c>
      <c r="AN127" t="s">
        <v>46</v>
      </c>
      <c r="AP127" t="s">
        <v>47</v>
      </c>
      <c r="AQ127">
        <v>60.044012257098402</v>
      </c>
      <c r="AR127" t="s">
        <v>48</v>
      </c>
    </row>
    <row r="128" spans="1:44" x14ac:dyDescent="0.35">
      <c r="A128">
        <v>125</v>
      </c>
      <c r="B128">
        <v>0</v>
      </c>
      <c r="C128">
        <v>125</v>
      </c>
      <c r="D128" t="s">
        <v>397</v>
      </c>
      <c r="E128" t="s">
        <v>398</v>
      </c>
      <c r="F128" t="s">
        <v>51</v>
      </c>
      <c r="G128" t="s">
        <v>52</v>
      </c>
      <c r="H128" t="s">
        <v>52</v>
      </c>
      <c r="I128">
        <v>2.23608259999309</v>
      </c>
      <c r="J128" t="s">
        <v>54</v>
      </c>
      <c r="K128">
        <v>125</v>
      </c>
      <c r="L128">
        <v>0</v>
      </c>
      <c r="M128">
        <v>125</v>
      </c>
      <c r="N128">
        <v>0</v>
      </c>
      <c r="O128">
        <v>263.69982129998903</v>
      </c>
      <c r="T128">
        <v>10</v>
      </c>
      <c r="U128">
        <v>263.68114759999997</v>
      </c>
      <c r="V128">
        <v>263.69982129998903</v>
      </c>
      <c r="W128">
        <v>263.69982129998903</v>
      </c>
      <c r="X128">
        <v>4.4753800000762498E-2</v>
      </c>
      <c r="Y128">
        <v>265.91733130000603</v>
      </c>
      <c r="Z128" t="s">
        <v>397</v>
      </c>
      <c r="AA128" t="s">
        <v>398</v>
      </c>
      <c r="AB128" t="s">
        <v>51</v>
      </c>
      <c r="AC128" t="s">
        <v>52</v>
      </c>
      <c r="AD128" t="s">
        <v>52</v>
      </c>
      <c r="AE128" t="s">
        <v>399</v>
      </c>
      <c r="AF128" t="s">
        <v>54</v>
      </c>
      <c r="AK128" t="s">
        <v>44</v>
      </c>
      <c r="AL128">
        <v>1</v>
      </c>
      <c r="AM128" t="s">
        <v>45</v>
      </c>
      <c r="AN128" t="s">
        <v>46</v>
      </c>
      <c r="AP128" t="s">
        <v>47</v>
      </c>
      <c r="AQ128">
        <v>60.044012257098402</v>
      </c>
      <c r="AR128" t="s">
        <v>48</v>
      </c>
    </row>
    <row r="129" spans="1:44" x14ac:dyDescent="0.35">
      <c r="A129">
        <v>126</v>
      </c>
      <c r="B129">
        <v>0</v>
      </c>
      <c r="C129">
        <v>126</v>
      </c>
      <c r="D129" t="s">
        <v>400</v>
      </c>
      <c r="E129" t="s">
        <v>401</v>
      </c>
      <c r="F129" t="s">
        <v>51</v>
      </c>
      <c r="G129" t="s">
        <v>52</v>
      </c>
      <c r="H129" t="s">
        <v>52</v>
      </c>
      <c r="I129">
        <v>1.72377700000652</v>
      </c>
      <c r="J129" t="s">
        <v>54</v>
      </c>
      <c r="K129">
        <v>126</v>
      </c>
      <c r="L129">
        <v>0</v>
      </c>
      <c r="M129">
        <v>126</v>
      </c>
      <c r="N129">
        <v>0</v>
      </c>
      <c r="O129">
        <v>265.97824890000601</v>
      </c>
      <c r="T129">
        <v>10</v>
      </c>
      <c r="U129">
        <v>265.96038989999198</v>
      </c>
      <c r="V129">
        <v>265.97824890000601</v>
      </c>
      <c r="W129">
        <v>265.97824890000601</v>
      </c>
      <c r="X129">
        <v>4.2850699974223902E-2</v>
      </c>
      <c r="Y129">
        <v>267.68427090000398</v>
      </c>
      <c r="Z129" t="s">
        <v>400</v>
      </c>
      <c r="AA129" t="s">
        <v>401</v>
      </c>
      <c r="AB129" t="s">
        <v>51</v>
      </c>
      <c r="AC129" t="s">
        <v>52</v>
      </c>
      <c r="AD129" t="s">
        <v>52</v>
      </c>
      <c r="AE129" t="s">
        <v>402</v>
      </c>
      <c r="AF129" t="s">
        <v>54</v>
      </c>
      <c r="AK129" t="s">
        <v>44</v>
      </c>
      <c r="AL129">
        <v>1</v>
      </c>
      <c r="AM129" t="s">
        <v>45</v>
      </c>
      <c r="AN129" t="s">
        <v>46</v>
      </c>
      <c r="AP129" t="s">
        <v>47</v>
      </c>
      <c r="AQ129">
        <v>60.044012257098402</v>
      </c>
      <c r="AR129" t="s">
        <v>48</v>
      </c>
    </row>
    <row r="130" spans="1:44" x14ac:dyDescent="0.35">
      <c r="A130">
        <v>127</v>
      </c>
      <c r="B130">
        <v>0</v>
      </c>
      <c r="C130">
        <v>127</v>
      </c>
      <c r="D130" t="s">
        <v>403</v>
      </c>
      <c r="E130" t="s">
        <v>404</v>
      </c>
      <c r="F130" t="s">
        <v>51</v>
      </c>
      <c r="G130" t="s">
        <v>52</v>
      </c>
      <c r="H130" t="s">
        <v>52</v>
      </c>
      <c r="I130">
        <v>1.84056459998828</v>
      </c>
      <c r="J130" t="s">
        <v>54</v>
      </c>
      <c r="K130">
        <v>127</v>
      </c>
      <c r="L130">
        <v>0</v>
      </c>
      <c r="M130">
        <v>127</v>
      </c>
      <c r="N130">
        <v>0</v>
      </c>
      <c r="O130">
        <v>267.74629330000602</v>
      </c>
      <c r="T130">
        <v>10</v>
      </c>
      <c r="U130">
        <v>267.72707779999399</v>
      </c>
      <c r="V130">
        <v>267.74629330000602</v>
      </c>
      <c r="W130">
        <v>267.74629330000602</v>
      </c>
      <c r="X130">
        <v>4.2574599996441899E-2</v>
      </c>
      <c r="Y130">
        <v>269.56774649998903</v>
      </c>
      <c r="Z130" t="s">
        <v>403</v>
      </c>
      <c r="AA130" t="s">
        <v>404</v>
      </c>
      <c r="AB130" t="s">
        <v>51</v>
      </c>
      <c r="AC130" t="s">
        <v>52</v>
      </c>
      <c r="AD130" t="s">
        <v>52</v>
      </c>
      <c r="AE130" t="s">
        <v>405</v>
      </c>
      <c r="AF130" t="s">
        <v>54</v>
      </c>
      <c r="AK130" t="s">
        <v>44</v>
      </c>
      <c r="AL130">
        <v>1</v>
      </c>
      <c r="AM130" t="s">
        <v>45</v>
      </c>
      <c r="AN130" t="s">
        <v>46</v>
      </c>
      <c r="AP130" t="s">
        <v>47</v>
      </c>
      <c r="AQ130">
        <v>60.044012257098402</v>
      </c>
      <c r="AR130" t="s">
        <v>48</v>
      </c>
    </row>
    <row r="131" spans="1:44" x14ac:dyDescent="0.35">
      <c r="A131">
        <v>128</v>
      </c>
      <c r="B131">
        <v>0</v>
      </c>
      <c r="C131">
        <v>128</v>
      </c>
      <c r="D131" t="s">
        <v>406</v>
      </c>
      <c r="E131" t="s">
        <v>407</v>
      </c>
      <c r="F131" t="s">
        <v>51</v>
      </c>
      <c r="G131" t="s">
        <v>52</v>
      </c>
      <c r="H131" t="s">
        <v>52</v>
      </c>
      <c r="I131">
        <v>3.9404511999746301</v>
      </c>
      <c r="J131" t="s">
        <v>54</v>
      </c>
      <c r="K131">
        <v>128</v>
      </c>
      <c r="L131">
        <v>0</v>
      </c>
      <c r="M131">
        <v>128</v>
      </c>
      <c r="N131">
        <v>0</v>
      </c>
      <c r="O131">
        <v>269.62960169999798</v>
      </c>
      <c r="T131">
        <v>10</v>
      </c>
      <c r="U131">
        <v>269.61048840000802</v>
      </c>
      <c r="V131">
        <v>269.62960169999798</v>
      </c>
      <c r="W131">
        <v>269.62960169999798</v>
      </c>
      <c r="X131">
        <v>4.2513799999142003E-2</v>
      </c>
      <c r="Y131">
        <v>273.55105159999198</v>
      </c>
      <c r="Z131" t="s">
        <v>406</v>
      </c>
      <c r="AA131" t="s">
        <v>407</v>
      </c>
      <c r="AB131" t="s">
        <v>51</v>
      </c>
      <c r="AC131" t="s">
        <v>52</v>
      </c>
      <c r="AD131" t="s">
        <v>52</v>
      </c>
      <c r="AE131" t="s">
        <v>408</v>
      </c>
      <c r="AF131" t="s">
        <v>54</v>
      </c>
      <c r="AK131" t="s">
        <v>44</v>
      </c>
      <c r="AL131">
        <v>1</v>
      </c>
      <c r="AM131" t="s">
        <v>45</v>
      </c>
      <c r="AN131" t="s">
        <v>46</v>
      </c>
      <c r="AP131" t="s">
        <v>47</v>
      </c>
      <c r="AQ131">
        <v>60.044012257098402</v>
      </c>
      <c r="AR131" t="s">
        <v>48</v>
      </c>
    </row>
    <row r="132" spans="1:44" x14ac:dyDescent="0.35">
      <c r="A132">
        <v>129</v>
      </c>
      <c r="B132">
        <v>0</v>
      </c>
      <c r="C132">
        <v>129</v>
      </c>
      <c r="D132" t="s">
        <v>409</v>
      </c>
      <c r="E132" t="s">
        <v>410</v>
      </c>
      <c r="F132" t="s">
        <v>51</v>
      </c>
      <c r="G132" t="s">
        <v>52</v>
      </c>
      <c r="H132" t="s">
        <v>52</v>
      </c>
      <c r="I132">
        <v>2.0953698999946901</v>
      </c>
      <c r="J132" t="s">
        <v>54</v>
      </c>
      <c r="K132">
        <v>129</v>
      </c>
      <c r="L132">
        <v>0</v>
      </c>
      <c r="M132">
        <v>129</v>
      </c>
      <c r="N132">
        <v>0</v>
      </c>
      <c r="O132">
        <v>273.58533070000698</v>
      </c>
      <c r="T132">
        <v>5</v>
      </c>
      <c r="U132">
        <v>273.57309769999102</v>
      </c>
      <c r="V132">
        <v>273.58533070000698</v>
      </c>
      <c r="W132">
        <v>273.58533070000698</v>
      </c>
      <c r="X132">
        <v>2.18085999949835E-2</v>
      </c>
      <c r="Y132">
        <v>275.66856900000101</v>
      </c>
      <c r="Z132" t="s">
        <v>409</v>
      </c>
      <c r="AA132" t="s">
        <v>410</v>
      </c>
      <c r="AB132" t="s">
        <v>51</v>
      </c>
      <c r="AC132" t="s">
        <v>52</v>
      </c>
      <c r="AD132" t="s">
        <v>52</v>
      </c>
      <c r="AE132" t="s">
        <v>411</v>
      </c>
      <c r="AF132" t="s">
        <v>54</v>
      </c>
      <c r="AK132" t="s">
        <v>44</v>
      </c>
      <c r="AL132">
        <v>1</v>
      </c>
      <c r="AM132" t="s">
        <v>45</v>
      </c>
      <c r="AN132" t="s">
        <v>46</v>
      </c>
      <c r="AP132" t="s">
        <v>47</v>
      </c>
      <c r="AQ132">
        <v>60.044012257098402</v>
      </c>
      <c r="AR132" t="s">
        <v>48</v>
      </c>
    </row>
    <row r="133" spans="1:44" x14ac:dyDescent="0.35">
      <c r="A133">
        <v>130</v>
      </c>
      <c r="B133">
        <v>0</v>
      </c>
      <c r="C133">
        <v>130</v>
      </c>
      <c r="D133" t="s">
        <v>412</v>
      </c>
      <c r="E133" t="s">
        <v>74</v>
      </c>
      <c r="F133" t="s">
        <v>51</v>
      </c>
      <c r="G133" t="s">
        <v>52</v>
      </c>
      <c r="H133" t="s">
        <v>52</v>
      </c>
      <c r="I133">
        <v>2.3902718000172101</v>
      </c>
      <c r="J133" t="s">
        <v>54</v>
      </c>
      <c r="K133">
        <v>130</v>
      </c>
      <c r="L133">
        <v>0</v>
      </c>
      <c r="M133">
        <v>130</v>
      </c>
      <c r="N133">
        <v>0</v>
      </c>
      <c r="O133">
        <v>275.70891099999398</v>
      </c>
      <c r="T133">
        <v>5</v>
      </c>
      <c r="U133">
        <v>275.69363130000397</v>
      </c>
      <c r="V133">
        <v>275.70891099999398</v>
      </c>
      <c r="W133">
        <v>275.70891099999398</v>
      </c>
      <c r="X133">
        <v>2.4880799988750299E-2</v>
      </c>
      <c r="Y133">
        <v>278.08399909999503</v>
      </c>
      <c r="Z133" t="s">
        <v>412</v>
      </c>
      <c r="AA133" t="s">
        <v>74</v>
      </c>
      <c r="AB133" t="s">
        <v>51</v>
      </c>
      <c r="AC133" t="s">
        <v>52</v>
      </c>
      <c r="AD133" t="s">
        <v>52</v>
      </c>
      <c r="AE133" t="s">
        <v>413</v>
      </c>
      <c r="AF133" t="s">
        <v>54</v>
      </c>
      <c r="AK133" t="s">
        <v>44</v>
      </c>
      <c r="AL133">
        <v>1</v>
      </c>
      <c r="AM133" t="s">
        <v>45</v>
      </c>
      <c r="AN133" t="s">
        <v>46</v>
      </c>
      <c r="AP133" t="s">
        <v>47</v>
      </c>
      <c r="AQ133">
        <v>60.044012257098402</v>
      </c>
      <c r="AR133" t="s">
        <v>48</v>
      </c>
    </row>
    <row r="134" spans="1:44" x14ac:dyDescent="0.35">
      <c r="A134">
        <v>131</v>
      </c>
      <c r="B134">
        <v>0</v>
      </c>
      <c r="C134">
        <v>131</v>
      </c>
      <c r="D134" t="s">
        <v>180</v>
      </c>
      <c r="E134" t="s">
        <v>414</v>
      </c>
      <c r="F134" t="s">
        <v>51</v>
      </c>
      <c r="G134" t="s">
        <v>52</v>
      </c>
      <c r="H134" t="s">
        <v>52</v>
      </c>
      <c r="I134">
        <v>1.5931056999834201</v>
      </c>
      <c r="J134" t="s">
        <v>54</v>
      </c>
      <c r="K134">
        <v>131</v>
      </c>
      <c r="L134">
        <v>0</v>
      </c>
      <c r="M134">
        <v>131</v>
      </c>
      <c r="N134">
        <v>0</v>
      </c>
      <c r="O134">
        <v>278.11911840000499</v>
      </c>
      <c r="T134">
        <v>5</v>
      </c>
      <c r="U134">
        <v>278.10758350000799</v>
      </c>
      <c r="V134">
        <v>278.11911840000499</v>
      </c>
      <c r="W134">
        <v>278.11911840000499</v>
      </c>
      <c r="X134">
        <v>2.3403800005325999E-2</v>
      </c>
      <c r="Y134">
        <v>279.70080839999702</v>
      </c>
      <c r="Z134" t="s">
        <v>180</v>
      </c>
      <c r="AA134" t="s">
        <v>414</v>
      </c>
      <c r="AB134" t="s">
        <v>51</v>
      </c>
      <c r="AC134" t="s">
        <v>52</v>
      </c>
      <c r="AD134" t="s">
        <v>52</v>
      </c>
      <c r="AE134" t="s">
        <v>415</v>
      </c>
      <c r="AF134" t="s">
        <v>54</v>
      </c>
      <c r="AK134" t="s">
        <v>44</v>
      </c>
      <c r="AL134">
        <v>1</v>
      </c>
      <c r="AM134" t="s">
        <v>45</v>
      </c>
      <c r="AN134" t="s">
        <v>46</v>
      </c>
      <c r="AP134" t="s">
        <v>47</v>
      </c>
      <c r="AQ134">
        <v>60.044012257098402</v>
      </c>
      <c r="AR134" t="s">
        <v>48</v>
      </c>
    </row>
    <row r="135" spans="1:44" x14ac:dyDescent="0.35">
      <c r="A135">
        <v>132</v>
      </c>
      <c r="B135">
        <v>0</v>
      </c>
      <c r="C135">
        <v>132</v>
      </c>
      <c r="D135" t="s">
        <v>416</v>
      </c>
      <c r="E135" t="s">
        <v>417</v>
      </c>
      <c r="F135" t="s">
        <v>51</v>
      </c>
      <c r="G135" t="s">
        <v>52</v>
      </c>
      <c r="H135" t="s">
        <v>52</v>
      </c>
      <c r="I135">
        <v>3.0387145999993601</v>
      </c>
      <c r="J135" t="s">
        <v>54</v>
      </c>
      <c r="K135">
        <v>132</v>
      </c>
      <c r="L135">
        <v>0</v>
      </c>
      <c r="M135">
        <v>132</v>
      </c>
      <c r="N135">
        <v>0</v>
      </c>
      <c r="O135">
        <v>279.86914910000598</v>
      </c>
      <c r="T135">
        <v>10</v>
      </c>
      <c r="U135">
        <v>279.84840129999702</v>
      </c>
      <c r="V135">
        <v>279.86914910000598</v>
      </c>
      <c r="W135">
        <v>279.86914910000598</v>
      </c>
      <c r="X135">
        <v>0.147410400008084</v>
      </c>
      <c r="Y135">
        <v>282.887252999993</v>
      </c>
      <c r="Z135" t="s">
        <v>416</v>
      </c>
      <c r="AA135" t="s">
        <v>417</v>
      </c>
      <c r="AB135" t="s">
        <v>51</v>
      </c>
      <c r="AC135" t="s">
        <v>52</v>
      </c>
      <c r="AD135" t="s">
        <v>52</v>
      </c>
      <c r="AE135" t="s">
        <v>418</v>
      </c>
      <c r="AF135" t="s">
        <v>54</v>
      </c>
      <c r="AK135" t="s">
        <v>44</v>
      </c>
      <c r="AL135">
        <v>1</v>
      </c>
      <c r="AM135" t="s">
        <v>45</v>
      </c>
      <c r="AN135" t="s">
        <v>46</v>
      </c>
      <c r="AP135" t="s">
        <v>47</v>
      </c>
      <c r="AQ135">
        <v>60.044012257098402</v>
      </c>
      <c r="AR135" t="s">
        <v>48</v>
      </c>
    </row>
    <row r="136" spans="1:44" x14ac:dyDescent="0.35">
      <c r="A136">
        <v>133</v>
      </c>
      <c r="B136">
        <v>0</v>
      </c>
      <c r="C136">
        <v>133</v>
      </c>
      <c r="D136" t="s">
        <v>419</v>
      </c>
      <c r="E136" t="s">
        <v>420</v>
      </c>
      <c r="F136" t="s">
        <v>51</v>
      </c>
      <c r="G136" t="s">
        <v>52</v>
      </c>
      <c r="H136" t="s">
        <v>52</v>
      </c>
      <c r="I136">
        <v>1.6935166000039299</v>
      </c>
      <c r="J136" t="s">
        <v>54</v>
      </c>
      <c r="K136">
        <v>133</v>
      </c>
      <c r="L136">
        <v>0</v>
      </c>
      <c r="M136">
        <v>133</v>
      </c>
      <c r="N136">
        <v>0</v>
      </c>
      <c r="O136">
        <v>282.920914100017</v>
      </c>
      <c r="T136">
        <v>5</v>
      </c>
      <c r="U136">
        <v>282.909712499997</v>
      </c>
      <c r="V136">
        <v>282.920914100017</v>
      </c>
      <c r="W136">
        <v>282.920914100017</v>
      </c>
      <c r="X136">
        <v>2.2245700005441901E-2</v>
      </c>
      <c r="Y136">
        <v>284.603358799999</v>
      </c>
      <c r="Z136" t="s">
        <v>419</v>
      </c>
      <c r="AA136" t="s">
        <v>420</v>
      </c>
      <c r="AB136" t="s">
        <v>51</v>
      </c>
      <c r="AC136" t="s">
        <v>52</v>
      </c>
      <c r="AD136" t="s">
        <v>52</v>
      </c>
      <c r="AE136" t="s">
        <v>421</v>
      </c>
      <c r="AF136" t="s">
        <v>54</v>
      </c>
      <c r="AK136" t="s">
        <v>44</v>
      </c>
      <c r="AL136">
        <v>1</v>
      </c>
      <c r="AM136" t="s">
        <v>45</v>
      </c>
      <c r="AN136" t="s">
        <v>46</v>
      </c>
      <c r="AP136" t="s">
        <v>47</v>
      </c>
      <c r="AQ136">
        <v>60.044012257098402</v>
      </c>
      <c r="AR136" t="s">
        <v>48</v>
      </c>
    </row>
    <row r="137" spans="1:44" x14ac:dyDescent="0.35">
      <c r="A137">
        <v>134</v>
      </c>
      <c r="B137">
        <v>0</v>
      </c>
      <c r="C137">
        <v>134</v>
      </c>
      <c r="D137" t="s">
        <v>422</v>
      </c>
      <c r="E137" t="s">
        <v>423</v>
      </c>
      <c r="F137" t="s">
        <v>51</v>
      </c>
      <c r="G137" t="s">
        <v>52</v>
      </c>
      <c r="H137" t="s">
        <v>52</v>
      </c>
      <c r="I137">
        <v>2.3396502999821598</v>
      </c>
      <c r="J137" t="s">
        <v>54</v>
      </c>
      <c r="K137">
        <v>134</v>
      </c>
      <c r="L137">
        <v>0</v>
      </c>
      <c r="M137">
        <v>134</v>
      </c>
      <c r="N137">
        <v>0</v>
      </c>
      <c r="O137">
        <v>284.640499900007</v>
      </c>
      <c r="T137">
        <v>5</v>
      </c>
      <c r="U137">
        <v>284.62773450001202</v>
      </c>
      <c r="V137">
        <v>284.640499900007</v>
      </c>
      <c r="W137">
        <v>284.640499900007</v>
      </c>
      <c r="X137">
        <v>2.4157200008630701E-2</v>
      </c>
      <c r="Y137">
        <v>286.96754440001598</v>
      </c>
      <c r="Z137" t="s">
        <v>422</v>
      </c>
      <c r="AA137" t="s">
        <v>423</v>
      </c>
      <c r="AB137" t="s">
        <v>51</v>
      </c>
      <c r="AC137" t="s">
        <v>52</v>
      </c>
      <c r="AD137" t="s">
        <v>52</v>
      </c>
      <c r="AE137" t="s">
        <v>424</v>
      </c>
      <c r="AF137" t="s">
        <v>54</v>
      </c>
      <c r="AK137" t="s">
        <v>44</v>
      </c>
      <c r="AL137">
        <v>1</v>
      </c>
      <c r="AM137" t="s">
        <v>45</v>
      </c>
      <c r="AN137" t="s">
        <v>46</v>
      </c>
      <c r="AP137" t="s">
        <v>47</v>
      </c>
      <c r="AQ137">
        <v>60.044012257098402</v>
      </c>
      <c r="AR137" t="s">
        <v>48</v>
      </c>
    </row>
    <row r="138" spans="1:44" x14ac:dyDescent="0.35">
      <c r="A138">
        <v>135</v>
      </c>
      <c r="B138">
        <v>0</v>
      </c>
      <c r="C138">
        <v>135</v>
      </c>
      <c r="D138" t="s">
        <v>425</v>
      </c>
      <c r="E138" t="s">
        <v>179</v>
      </c>
      <c r="F138" t="s">
        <v>51</v>
      </c>
      <c r="G138" t="s">
        <v>52</v>
      </c>
      <c r="H138" t="s">
        <v>52</v>
      </c>
      <c r="I138">
        <v>1.75476239999989</v>
      </c>
      <c r="J138" t="s">
        <v>54</v>
      </c>
      <c r="K138">
        <v>135</v>
      </c>
      <c r="L138">
        <v>0</v>
      </c>
      <c r="M138">
        <v>135</v>
      </c>
      <c r="N138">
        <v>0</v>
      </c>
      <c r="O138">
        <v>287.013627900014</v>
      </c>
      <c r="T138">
        <v>5</v>
      </c>
      <c r="U138">
        <v>286.99891359999299</v>
      </c>
      <c r="V138">
        <v>287.013627900014</v>
      </c>
      <c r="W138">
        <v>287.013627900014</v>
      </c>
      <c r="X138">
        <v>3.1138299993472101E-2</v>
      </c>
      <c r="Y138">
        <v>288.75376389999201</v>
      </c>
      <c r="Z138" t="s">
        <v>425</v>
      </c>
      <c r="AA138" t="s">
        <v>179</v>
      </c>
      <c r="AB138" t="s">
        <v>51</v>
      </c>
      <c r="AC138" t="s">
        <v>52</v>
      </c>
      <c r="AD138" t="s">
        <v>52</v>
      </c>
      <c r="AE138" t="s">
        <v>426</v>
      </c>
      <c r="AF138" t="s">
        <v>54</v>
      </c>
      <c r="AK138" t="s">
        <v>44</v>
      </c>
      <c r="AL138">
        <v>1</v>
      </c>
      <c r="AM138" t="s">
        <v>45</v>
      </c>
      <c r="AN138" t="s">
        <v>46</v>
      </c>
      <c r="AP138" t="s">
        <v>47</v>
      </c>
      <c r="AQ138">
        <v>60.044012257098402</v>
      </c>
      <c r="AR138" t="s">
        <v>48</v>
      </c>
    </row>
    <row r="139" spans="1:44" x14ac:dyDescent="0.35">
      <c r="A139">
        <v>136</v>
      </c>
      <c r="B139">
        <v>0</v>
      </c>
      <c r="C139">
        <v>136</v>
      </c>
      <c r="D139" t="s">
        <v>427</v>
      </c>
      <c r="E139" t="s">
        <v>428</v>
      </c>
      <c r="F139" t="s">
        <v>51</v>
      </c>
      <c r="G139" t="s">
        <v>52</v>
      </c>
      <c r="H139" t="s">
        <v>52</v>
      </c>
      <c r="I139">
        <v>2.3742707000055798</v>
      </c>
      <c r="J139" t="s">
        <v>54</v>
      </c>
      <c r="K139">
        <v>136</v>
      </c>
      <c r="L139">
        <v>0</v>
      </c>
      <c r="M139">
        <v>136</v>
      </c>
      <c r="N139">
        <v>0</v>
      </c>
      <c r="O139">
        <v>288.79203670000402</v>
      </c>
      <c r="T139">
        <v>5</v>
      </c>
      <c r="U139">
        <v>288.778592999995</v>
      </c>
      <c r="V139">
        <v>288.79203670000402</v>
      </c>
      <c r="W139">
        <v>288.79203670000402</v>
      </c>
      <c r="X139">
        <v>2.4651500018080599E-2</v>
      </c>
      <c r="Y139">
        <v>291.15304440000898</v>
      </c>
      <c r="Z139" t="s">
        <v>427</v>
      </c>
      <c r="AA139" t="s">
        <v>428</v>
      </c>
      <c r="AB139" t="s">
        <v>51</v>
      </c>
      <c r="AC139" t="s">
        <v>52</v>
      </c>
      <c r="AD139" t="s">
        <v>52</v>
      </c>
      <c r="AE139" t="s">
        <v>429</v>
      </c>
      <c r="AF139" t="s">
        <v>54</v>
      </c>
      <c r="AK139" t="s">
        <v>44</v>
      </c>
      <c r="AL139">
        <v>1</v>
      </c>
      <c r="AM139" t="s">
        <v>45</v>
      </c>
      <c r="AN139" t="s">
        <v>46</v>
      </c>
      <c r="AP139" t="s">
        <v>47</v>
      </c>
      <c r="AQ139">
        <v>60.044012257098402</v>
      </c>
      <c r="AR139" t="s">
        <v>48</v>
      </c>
    </row>
    <row r="140" spans="1:44" x14ac:dyDescent="0.35">
      <c r="A140">
        <v>137</v>
      </c>
      <c r="B140">
        <v>0</v>
      </c>
      <c r="C140">
        <v>137</v>
      </c>
      <c r="D140" t="s">
        <v>430</v>
      </c>
      <c r="E140" t="s">
        <v>431</v>
      </c>
      <c r="F140" t="s">
        <v>51</v>
      </c>
      <c r="G140" t="s">
        <v>52</v>
      </c>
      <c r="H140" t="s">
        <v>52</v>
      </c>
      <c r="I140">
        <v>1.90657940000528</v>
      </c>
      <c r="J140" t="s">
        <v>54</v>
      </c>
      <c r="K140">
        <v>137</v>
      </c>
      <c r="L140">
        <v>0</v>
      </c>
      <c r="M140">
        <v>137</v>
      </c>
      <c r="N140">
        <v>0</v>
      </c>
      <c r="O140">
        <v>291.189603000006</v>
      </c>
      <c r="T140">
        <v>5</v>
      </c>
      <c r="U140">
        <v>291.17863249999903</v>
      </c>
      <c r="V140">
        <v>291.189603000006</v>
      </c>
      <c r="W140">
        <v>291.189603000006</v>
      </c>
      <c r="X140">
        <v>2.5275899999542099E-2</v>
      </c>
      <c r="Y140">
        <v>293.08531620001298</v>
      </c>
      <c r="Z140" t="s">
        <v>430</v>
      </c>
      <c r="AA140" t="s">
        <v>431</v>
      </c>
      <c r="AB140" t="s">
        <v>51</v>
      </c>
      <c r="AC140" t="s">
        <v>52</v>
      </c>
      <c r="AD140" t="s">
        <v>52</v>
      </c>
      <c r="AE140" t="s">
        <v>432</v>
      </c>
      <c r="AF140" t="s">
        <v>54</v>
      </c>
      <c r="AK140" t="s">
        <v>44</v>
      </c>
      <c r="AL140">
        <v>1</v>
      </c>
      <c r="AM140" t="s">
        <v>45</v>
      </c>
      <c r="AN140" t="s">
        <v>46</v>
      </c>
      <c r="AP140" t="s">
        <v>47</v>
      </c>
      <c r="AQ140">
        <v>60.044012257098402</v>
      </c>
      <c r="AR140" t="s">
        <v>48</v>
      </c>
    </row>
    <row r="141" spans="1:44" x14ac:dyDescent="0.35">
      <c r="A141">
        <v>138</v>
      </c>
      <c r="B141">
        <v>0</v>
      </c>
      <c r="C141">
        <v>138</v>
      </c>
      <c r="D141" t="s">
        <v>433</v>
      </c>
      <c r="E141" t="s">
        <v>434</v>
      </c>
      <c r="F141" t="s">
        <v>51</v>
      </c>
      <c r="G141" t="s">
        <v>52</v>
      </c>
      <c r="H141" t="s">
        <v>52</v>
      </c>
      <c r="I141">
        <v>3.0017569999909002</v>
      </c>
      <c r="J141" t="s">
        <v>54</v>
      </c>
      <c r="K141">
        <v>138</v>
      </c>
      <c r="L141">
        <v>0</v>
      </c>
      <c r="M141">
        <v>138</v>
      </c>
      <c r="N141">
        <v>0</v>
      </c>
      <c r="O141">
        <v>293.15000250001299</v>
      </c>
      <c r="T141">
        <v>10</v>
      </c>
      <c r="U141">
        <v>293.13324200001</v>
      </c>
      <c r="V141">
        <v>293.15000250001299</v>
      </c>
      <c r="W141">
        <v>293.15000250001299</v>
      </c>
      <c r="X141">
        <v>4.7754700004588799E-2</v>
      </c>
      <c r="Y141">
        <v>296.13509640001502</v>
      </c>
      <c r="Z141" t="s">
        <v>433</v>
      </c>
      <c r="AA141" t="s">
        <v>434</v>
      </c>
      <c r="AB141" t="s">
        <v>51</v>
      </c>
      <c r="AC141" t="s">
        <v>52</v>
      </c>
      <c r="AD141" t="s">
        <v>52</v>
      </c>
      <c r="AE141" t="s">
        <v>435</v>
      </c>
      <c r="AF141" t="s">
        <v>54</v>
      </c>
      <c r="AK141" t="s">
        <v>44</v>
      </c>
      <c r="AL141">
        <v>1</v>
      </c>
      <c r="AM141" t="s">
        <v>45</v>
      </c>
      <c r="AN141" t="s">
        <v>46</v>
      </c>
      <c r="AP141" t="s">
        <v>47</v>
      </c>
      <c r="AQ141">
        <v>60.044012257098402</v>
      </c>
      <c r="AR141" t="s">
        <v>48</v>
      </c>
    </row>
    <row r="142" spans="1:44" x14ac:dyDescent="0.35">
      <c r="A142">
        <v>139</v>
      </c>
      <c r="B142">
        <v>0</v>
      </c>
      <c r="C142">
        <v>139</v>
      </c>
      <c r="D142" t="s">
        <v>118</v>
      </c>
      <c r="E142" t="s">
        <v>436</v>
      </c>
      <c r="F142" t="s">
        <v>51</v>
      </c>
      <c r="G142" t="s">
        <v>52</v>
      </c>
      <c r="H142" t="s">
        <v>52</v>
      </c>
      <c r="I142">
        <v>2.2626436999998898</v>
      </c>
      <c r="J142" t="s">
        <v>54</v>
      </c>
      <c r="K142">
        <v>139</v>
      </c>
      <c r="L142">
        <v>0</v>
      </c>
      <c r="M142">
        <v>139</v>
      </c>
      <c r="N142">
        <v>0</v>
      </c>
      <c r="O142">
        <v>296.16864160000102</v>
      </c>
      <c r="T142">
        <v>5</v>
      </c>
      <c r="U142">
        <v>296.15683940000599</v>
      </c>
      <c r="V142">
        <v>296.16864160000102</v>
      </c>
      <c r="W142">
        <v>296.16864160000102</v>
      </c>
      <c r="X142">
        <v>2.15295999951194E-2</v>
      </c>
      <c r="Y142">
        <v>298.41958849999298</v>
      </c>
      <c r="Z142" t="s">
        <v>118</v>
      </c>
      <c r="AA142" t="s">
        <v>436</v>
      </c>
      <c r="AB142" t="s">
        <v>51</v>
      </c>
      <c r="AC142" t="s">
        <v>52</v>
      </c>
      <c r="AD142" t="s">
        <v>52</v>
      </c>
      <c r="AE142" t="s">
        <v>437</v>
      </c>
      <c r="AF142" t="s">
        <v>54</v>
      </c>
      <c r="AK142" t="s">
        <v>44</v>
      </c>
      <c r="AL142">
        <v>1</v>
      </c>
      <c r="AM142" t="s">
        <v>45</v>
      </c>
      <c r="AN142" t="s">
        <v>46</v>
      </c>
      <c r="AP142" t="s">
        <v>47</v>
      </c>
      <c r="AQ142">
        <v>60.044012257098402</v>
      </c>
      <c r="AR142" t="s">
        <v>48</v>
      </c>
    </row>
    <row r="143" spans="1:44" x14ac:dyDescent="0.35">
      <c r="A143">
        <v>140</v>
      </c>
      <c r="B143">
        <v>0</v>
      </c>
      <c r="C143">
        <v>140</v>
      </c>
      <c r="D143" t="s">
        <v>367</v>
      </c>
      <c r="E143" t="s">
        <v>438</v>
      </c>
      <c r="F143" t="s">
        <v>51</v>
      </c>
      <c r="G143" t="s">
        <v>52</v>
      </c>
      <c r="H143" t="s">
        <v>52</v>
      </c>
      <c r="I143">
        <v>1.44546760001685</v>
      </c>
      <c r="J143" t="s">
        <v>54</v>
      </c>
      <c r="K143">
        <v>140</v>
      </c>
      <c r="L143">
        <v>0</v>
      </c>
      <c r="M143">
        <v>140</v>
      </c>
      <c r="N143">
        <v>0</v>
      </c>
      <c r="O143">
        <v>298.45139639999201</v>
      </c>
      <c r="T143">
        <v>5</v>
      </c>
      <c r="U143">
        <v>298.44078920001601</v>
      </c>
      <c r="V143">
        <v>298.45139639999201</v>
      </c>
      <c r="W143">
        <v>298.45139639999201</v>
      </c>
      <c r="X143">
        <v>2.1008500014431698E-2</v>
      </c>
      <c r="Y143">
        <v>299.88641740000401</v>
      </c>
      <c r="Z143" t="s">
        <v>367</v>
      </c>
      <c r="AA143" t="s">
        <v>438</v>
      </c>
      <c r="AB143" t="s">
        <v>51</v>
      </c>
      <c r="AC143" t="s">
        <v>52</v>
      </c>
      <c r="AD143" t="s">
        <v>52</v>
      </c>
      <c r="AE143" t="s">
        <v>439</v>
      </c>
      <c r="AF143" t="s">
        <v>54</v>
      </c>
      <c r="AK143" t="s">
        <v>44</v>
      </c>
      <c r="AL143">
        <v>1</v>
      </c>
      <c r="AM143" t="s">
        <v>45</v>
      </c>
      <c r="AN143" t="s">
        <v>46</v>
      </c>
      <c r="AP143" t="s">
        <v>47</v>
      </c>
      <c r="AQ143">
        <v>60.044012257098402</v>
      </c>
      <c r="AR143" t="s">
        <v>48</v>
      </c>
    </row>
    <row r="144" spans="1:44" x14ac:dyDescent="0.35">
      <c r="A144">
        <v>141</v>
      </c>
      <c r="B144">
        <v>0</v>
      </c>
      <c r="C144">
        <v>141</v>
      </c>
      <c r="D144" t="s">
        <v>440</v>
      </c>
      <c r="E144" t="s">
        <v>441</v>
      </c>
      <c r="F144" t="s">
        <v>51</v>
      </c>
      <c r="G144" t="s">
        <v>52</v>
      </c>
      <c r="H144" t="s">
        <v>52</v>
      </c>
      <c r="I144">
        <v>1.40237299998989</v>
      </c>
      <c r="J144" t="s">
        <v>54</v>
      </c>
      <c r="K144">
        <v>141</v>
      </c>
      <c r="L144">
        <v>0</v>
      </c>
      <c r="M144">
        <v>141</v>
      </c>
      <c r="N144">
        <v>0</v>
      </c>
      <c r="O144">
        <v>299.95264760000202</v>
      </c>
      <c r="T144">
        <v>10</v>
      </c>
      <c r="U144">
        <v>299.93362210001197</v>
      </c>
      <c r="V144">
        <v>299.95264760000202</v>
      </c>
      <c r="W144">
        <v>299.95264760000202</v>
      </c>
      <c r="X144">
        <v>4.6978099999250802E-2</v>
      </c>
      <c r="Y144">
        <v>301.336037300003</v>
      </c>
      <c r="Z144" t="s">
        <v>440</v>
      </c>
      <c r="AA144" t="s">
        <v>441</v>
      </c>
      <c r="AB144" t="s">
        <v>51</v>
      </c>
      <c r="AC144" t="s">
        <v>52</v>
      </c>
      <c r="AD144" t="s">
        <v>52</v>
      </c>
      <c r="AE144" t="s">
        <v>442</v>
      </c>
      <c r="AF144" t="s">
        <v>54</v>
      </c>
      <c r="AK144" t="s">
        <v>44</v>
      </c>
      <c r="AL144">
        <v>1</v>
      </c>
      <c r="AM144" t="s">
        <v>45</v>
      </c>
      <c r="AN144" t="s">
        <v>46</v>
      </c>
      <c r="AP144" t="s">
        <v>47</v>
      </c>
      <c r="AQ144">
        <v>60.044012257098402</v>
      </c>
      <c r="AR144" t="s">
        <v>48</v>
      </c>
    </row>
    <row r="145" spans="1:44" x14ac:dyDescent="0.35">
      <c r="A145">
        <v>142</v>
      </c>
      <c r="B145">
        <v>0</v>
      </c>
      <c r="C145">
        <v>142</v>
      </c>
      <c r="D145" t="s">
        <v>443</v>
      </c>
      <c r="E145" t="s">
        <v>444</v>
      </c>
      <c r="F145" t="s">
        <v>51</v>
      </c>
      <c r="G145" t="s">
        <v>52</v>
      </c>
      <c r="H145" t="s">
        <v>52</v>
      </c>
      <c r="I145">
        <v>1.77959980000741</v>
      </c>
      <c r="J145" t="s">
        <v>54</v>
      </c>
      <c r="K145">
        <v>142</v>
      </c>
      <c r="L145">
        <v>0</v>
      </c>
      <c r="M145">
        <v>142</v>
      </c>
      <c r="N145">
        <v>0</v>
      </c>
      <c r="O145">
        <v>301.40926169999801</v>
      </c>
      <c r="T145">
        <v>10</v>
      </c>
      <c r="U145">
        <v>301.38870939999401</v>
      </c>
      <c r="V145">
        <v>301.40926169999801</v>
      </c>
      <c r="W145">
        <v>301.40926169999801</v>
      </c>
      <c r="X145">
        <v>5.2424800000153399E-2</v>
      </c>
      <c r="Y145">
        <v>303.16843059999502</v>
      </c>
      <c r="Z145" t="s">
        <v>443</v>
      </c>
      <c r="AA145" t="s">
        <v>444</v>
      </c>
      <c r="AB145" t="s">
        <v>51</v>
      </c>
      <c r="AC145" t="s">
        <v>52</v>
      </c>
      <c r="AD145" t="s">
        <v>52</v>
      </c>
      <c r="AE145" t="s">
        <v>445</v>
      </c>
      <c r="AF145" t="s">
        <v>54</v>
      </c>
      <c r="AK145" t="s">
        <v>44</v>
      </c>
      <c r="AL145">
        <v>1</v>
      </c>
      <c r="AM145" t="s">
        <v>45</v>
      </c>
      <c r="AN145" t="s">
        <v>46</v>
      </c>
      <c r="AP145" t="s">
        <v>47</v>
      </c>
      <c r="AQ145">
        <v>60.044012257098402</v>
      </c>
      <c r="AR145" t="s">
        <v>48</v>
      </c>
    </row>
    <row r="146" spans="1:44" x14ac:dyDescent="0.35">
      <c r="A146">
        <v>143</v>
      </c>
      <c r="B146">
        <v>0</v>
      </c>
      <c r="C146">
        <v>143</v>
      </c>
      <c r="D146" t="s">
        <v>446</v>
      </c>
      <c r="E146" t="s">
        <v>447</v>
      </c>
      <c r="F146" t="s">
        <v>51</v>
      </c>
      <c r="G146" t="s">
        <v>52</v>
      </c>
      <c r="H146" t="s">
        <v>52</v>
      </c>
      <c r="I146">
        <v>1.9426541000138899</v>
      </c>
      <c r="J146" t="s">
        <v>54</v>
      </c>
      <c r="K146">
        <v>143</v>
      </c>
      <c r="L146">
        <v>0</v>
      </c>
      <c r="M146">
        <v>143</v>
      </c>
      <c r="N146">
        <v>0</v>
      </c>
      <c r="O146">
        <v>303.20619279998903</v>
      </c>
      <c r="T146">
        <v>5</v>
      </c>
      <c r="U146">
        <v>303.19271579998798</v>
      </c>
      <c r="V146">
        <v>303.20619279998903</v>
      </c>
      <c r="W146">
        <v>303.20619279998903</v>
      </c>
      <c r="X146">
        <v>2.4065400008112098E-2</v>
      </c>
      <c r="Y146">
        <v>305.13546499999899</v>
      </c>
      <c r="Z146" t="s">
        <v>446</v>
      </c>
      <c r="AA146" t="s">
        <v>447</v>
      </c>
      <c r="AB146" t="s">
        <v>51</v>
      </c>
      <c r="AC146" t="s">
        <v>52</v>
      </c>
      <c r="AD146" t="s">
        <v>52</v>
      </c>
      <c r="AE146" t="s">
        <v>448</v>
      </c>
      <c r="AF146" t="s">
        <v>54</v>
      </c>
      <c r="AK146" t="s">
        <v>44</v>
      </c>
      <c r="AL146">
        <v>1</v>
      </c>
      <c r="AM146" t="s">
        <v>45</v>
      </c>
      <c r="AN146" t="s">
        <v>46</v>
      </c>
      <c r="AP146" t="s">
        <v>47</v>
      </c>
      <c r="AQ146">
        <v>60.044012257098402</v>
      </c>
      <c r="AR146" t="s">
        <v>48</v>
      </c>
    </row>
    <row r="147" spans="1:44" x14ac:dyDescent="0.35">
      <c r="A147">
        <v>144</v>
      </c>
      <c r="B147">
        <v>0</v>
      </c>
      <c r="C147">
        <v>144</v>
      </c>
      <c r="D147" t="s">
        <v>449</v>
      </c>
      <c r="E147" t="s">
        <v>450</v>
      </c>
      <c r="F147" t="s">
        <v>51</v>
      </c>
      <c r="G147" t="s">
        <v>52</v>
      </c>
      <c r="H147" t="s">
        <v>52</v>
      </c>
      <c r="I147">
        <v>1.5555491999839399</v>
      </c>
      <c r="J147" t="s">
        <v>54</v>
      </c>
      <c r="K147">
        <v>144</v>
      </c>
      <c r="L147">
        <v>0</v>
      </c>
      <c r="M147">
        <v>144</v>
      </c>
      <c r="N147">
        <v>0</v>
      </c>
      <c r="O147">
        <v>305.19672259999697</v>
      </c>
      <c r="T147">
        <v>10</v>
      </c>
      <c r="U147">
        <v>305.17806279999701</v>
      </c>
      <c r="V147">
        <v>305.19672259999697</v>
      </c>
      <c r="W147">
        <v>305.19672259999697</v>
      </c>
      <c r="X147">
        <v>4.2385100008686998E-2</v>
      </c>
      <c r="Y147">
        <v>306.733736299996</v>
      </c>
      <c r="Z147" t="s">
        <v>449</v>
      </c>
      <c r="AA147" t="s">
        <v>450</v>
      </c>
      <c r="AB147" t="s">
        <v>51</v>
      </c>
      <c r="AC147" t="s">
        <v>52</v>
      </c>
      <c r="AD147" t="s">
        <v>52</v>
      </c>
      <c r="AE147" t="s">
        <v>451</v>
      </c>
      <c r="AF147" t="s">
        <v>54</v>
      </c>
      <c r="AK147" t="s">
        <v>44</v>
      </c>
      <c r="AL147">
        <v>1</v>
      </c>
      <c r="AM147" t="s">
        <v>45</v>
      </c>
      <c r="AN147" t="s">
        <v>46</v>
      </c>
      <c r="AP147" t="s">
        <v>47</v>
      </c>
      <c r="AQ147">
        <v>60.044012257098402</v>
      </c>
      <c r="AR147" t="s">
        <v>48</v>
      </c>
    </row>
    <row r="148" spans="1:44" x14ac:dyDescent="0.35">
      <c r="A148">
        <v>145</v>
      </c>
      <c r="B148">
        <v>0</v>
      </c>
      <c r="C148">
        <v>145</v>
      </c>
      <c r="D148" t="s">
        <v>452</v>
      </c>
      <c r="E148" t="s">
        <v>453</v>
      </c>
      <c r="F148" t="s">
        <v>51</v>
      </c>
      <c r="G148" t="s">
        <v>52</v>
      </c>
      <c r="H148" t="s">
        <v>52</v>
      </c>
      <c r="I148">
        <v>2.0120475000003299</v>
      </c>
      <c r="J148" t="s">
        <v>54</v>
      </c>
      <c r="K148">
        <v>145</v>
      </c>
      <c r="L148">
        <v>0</v>
      </c>
      <c r="M148">
        <v>145</v>
      </c>
      <c r="N148">
        <v>0</v>
      </c>
      <c r="O148">
        <v>306.770313299988</v>
      </c>
      <c r="T148">
        <v>5</v>
      </c>
      <c r="U148">
        <v>306.756372400006</v>
      </c>
      <c r="V148">
        <v>306.770313299988</v>
      </c>
      <c r="W148">
        <v>306.770313299988</v>
      </c>
      <c r="X148">
        <v>2.2340900002745901E-2</v>
      </c>
      <c r="Y148">
        <v>308.768564099998</v>
      </c>
      <c r="Z148" t="s">
        <v>452</v>
      </c>
      <c r="AA148" t="s">
        <v>453</v>
      </c>
      <c r="AB148" t="s">
        <v>51</v>
      </c>
      <c r="AC148" t="s">
        <v>52</v>
      </c>
      <c r="AD148" t="s">
        <v>52</v>
      </c>
      <c r="AE148" t="s">
        <v>454</v>
      </c>
      <c r="AF148" t="s">
        <v>54</v>
      </c>
      <c r="AK148" t="s">
        <v>44</v>
      </c>
      <c r="AL148">
        <v>1</v>
      </c>
      <c r="AM148" t="s">
        <v>45</v>
      </c>
      <c r="AN148" t="s">
        <v>46</v>
      </c>
      <c r="AP148" t="s">
        <v>47</v>
      </c>
      <c r="AQ148">
        <v>60.044012257098402</v>
      </c>
      <c r="AR148" t="s">
        <v>48</v>
      </c>
    </row>
    <row r="149" spans="1:44" x14ac:dyDescent="0.35">
      <c r="A149">
        <v>146</v>
      </c>
      <c r="B149">
        <v>0</v>
      </c>
      <c r="C149">
        <v>146</v>
      </c>
      <c r="D149" t="s">
        <v>455</v>
      </c>
      <c r="E149" t="s">
        <v>456</v>
      </c>
      <c r="F149" t="s">
        <v>51</v>
      </c>
      <c r="G149" t="s">
        <v>52</v>
      </c>
      <c r="H149" t="s">
        <v>52</v>
      </c>
      <c r="I149">
        <v>1.5160618999798301</v>
      </c>
      <c r="J149" t="s">
        <v>54</v>
      </c>
      <c r="K149">
        <v>146</v>
      </c>
      <c r="L149">
        <v>0</v>
      </c>
      <c r="M149">
        <v>146</v>
      </c>
      <c r="N149">
        <v>0</v>
      </c>
      <c r="O149">
        <v>308.83790599999998</v>
      </c>
      <c r="T149">
        <v>10</v>
      </c>
      <c r="U149">
        <v>308.81735990001403</v>
      </c>
      <c r="V149">
        <v>308.83790599999998</v>
      </c>
      <c r="W149">
        <v>308.83790599999998</v>
      </c>
      <c r="X149">
        <v>4.8536299989791497E-2</v>
      </c>
      <c r="Y149">
        <v>310.33352509999497</v>
      </c>
      <c r="Z149" t="s">
        <v>455</v>
      </c>
      <c r="AA149" t="s">
        <v>456</v>
      </c>
      <c r="AB149" t="s">
        <v>51</v>
      </c>
      <c r="AC149" t="s">
        <v>52</v>
      </c>
      <c r="AD149" t="s">
        <v>52</v>
      </c>
      <c r="AE149" t="s">
        <v>457</v>
      </c>
      <c r="AF149" t="s">
        <v>54</v>
      </c>
      <c r="AK149" t="s">
        <v>44</v>
      </c>
      <c r="AL149">
        <v>1</v>
      </c>
      <c r="AM149" t="s">
        <v>45</v>
      </c>
      <c r="AN149" t="s">
        <v>46</v>
      </c>
      <c r="AP149" t="s">
        <v>47</v>
      </c>
      <c r="AQ149">
        <v>60.044012257098402</v>
      </c>
      <c r="AR149" t="s">
        <v>48</v>
      </c>
    </row>
    <row r="150" spans="1:44" x14ac:dyDescent="0.35">
      <c r="A150">
        <v>147</v>
      </c>
      <c r="B150">
        <v>0</v>
      </c>
      <c r="C150">
        <v>147</v>
      </c>
      <c r="D150" t="s">
        <v>458</v>
      </c>
      <c r="E150" t="s">
        <v>459</v>
      </c>
      <c r="F150" t="s">
        <v>51</v>
      </c>
      <c r="G150" t="s">
        <v>52</v>
      </c>
      <c r="H150" t="s">
        <v>52</v>
      </c>
      <c r="I150">
        <v>1.58043169998563</v>
      </c>
      <c r="J150" t="s">
        <v>54</v>
      </c>
      <c r="K150">
        <v>147</v>
      </c>
      <c r="L150">
        <v>0</v>
      </c>
      <c r="M150">
        <v>147</v>
      </c>
      <c r="N150">
        <v>0</v>
      </c>
      <c r="O150">
        <v>310.36613660000103</v>
      </c>
      <c r="T150">
        <v>5</v>
      </c>
      <c r="U150">
        <v>310.35544250000299</v>
      </c>
      <c r="V150">
        <v>310.36613660000103</v>
      </c>
      <c r="W150">
        <v>310.36613660000103</v>
      </c>
      <c r="X150">
        <v>2.17026000027544E-2</v>
      </c>
      <c r="Y150">
        <v>311.93601289999702</v>
      </c>
      <c r="Z150" t="s">
        <v>458</v>
      </c>
      <c r="AA150" t="s">
        <v>459</v>
      </c>
      <c r="AB150" t="s">
        <v>51</v>
      </c>
      <c r="AC150" t="s">
        <v>52</v>
      </c>
      <c r="AD150" t="s">
        <v>52</v>
      </c>
      <c r="AE150" t="s">
        <v>460</v>
      </c>
      <c r="AF150" t="s">
        <v>54</v>
      </c>
      <c r="AK150" t="s">
        <v>44</v>
      </c>
      <c r="AL150">
        <v>1</v>
      </c>
      <c r="AM150" t="s">
        <v>45</v>
      </c>
      <c r="AN150" t="s">
        <v>46</v>
      </c>
      <c r="AP150" t="s">
        <v>47</v>
      </c>
      <c r="AQ150">
        <v>60.044012257098402</v>
      </c>
      <c r="AR150" t="s">
        <v>48</v>
      </c>
    </row>
    <row r="151" spans="1:44" x14ac:dyDescent="0.35">
      <c r="A151">
        <v>148</v>
      </c>
      <c r="B151">
        <v>0</v>
      </c>
      <c r="C151">
        <v>148</v>
      </c>
      <c r="D151" t="s">
        <v>461</v>
      </c>
      <c r="E151" t="s">
        <v>462</v>
      </c>
      <c r="F151" t="s">
        <v>51</v>
      </c>
      <c r="G151" t="s">
        <v>52</v>
      </c>
      <c r="H151" t="s">
        <v>52</v>
      </c>
      <c r="I151">
        <v>2.0370906999742102</v>
      </c>
      <c r="J151" t="s">
        <v>54</v>
      </c>
      <c r="K151">
        <v>148</v>
      </c>
      <c r="L151">
        <v>0</v>
      </c>
      <c r="M151">
        <v>148</v>
      </c>
      <c r="N151">
        <v>0</v>
      </c>
      <c r="O151">
        <v>312.00191950000499</v>
      </c>
      <c r="T151">
        <v>10</v>
      </c>
      <c r="U151">
        <v>311.98287100001397</v>
      </c>
      <c r="V151">
        <v>312.00191950000499</v>
      </c>
      <c r="W151">
        <v>312.00191950000499</v>
      </c>
      <c r="X151">
        <v>4.6594300016295102E-2</v>
      </c>
      <c r="Y151">
        <v>314.02012880000899</v>
      </c>
      <c r="Z151" t="s">
        <v>461</v>
      </c>
      <c r="AA151" t="s">
        <v>462</v>
      </c>
      <c r="AB151" t="s">
        <v>51</v>
      </c>
      <c r="AC151" t="s">
        <v>52</v>
      </c>
      <c r="AD151" t="s">
        <v>52</v>
      </c>
      <c r="AE151" t="s">
        <v>463</v>
      </c>
      <c r="AF151" t="s">
        <v>54</v>
      </c>
      <c r="AK151" t="s">
        <v>44</v>
      </c>
      <c r="AL151">
        <v>1</v>
      </c>
      <c r="AM151" t="s">
        <v>45</v>
      </c>
      <c r="AN151" t="s">
        <v>46</v>
      </c>
      <c r="AP151" t="s">
        <v>47</v>
      </c>
      <c r="AQ151">
        <v>60.044012257098402</v>
      </c>
      <c r="AR151" t="s">
        <v>48</v>
      </c>
    </row>
    <row r="152" spans="1:44" x14ac:dyDescent="0.35">
      <c r="A152">
        <v>149</v>
      </c>
      <c r="B152">
        <v>0</v>
      </c>
      <c r="C152">
        <v>149</v>
      </c>
      <c r="D152" t="s">
        <v>464</v>
      </c>
      <c r="E152" t="s">
        <v>465</v>
      </c>
      <c r="F152" t="s">
        <v>51</v>
      </c>
      <c r="G152" t="s">
        <v>52</v>
      </c>
      <c r="H152" t="s">
        <v>52</v>
      </c>
      <c r="I152">
        <v>1.4339594999910299</v>
      </c>
      <c r="J152" t="s">
        <v>54</v>
      </c>
      <c r="K152">
        <v>149</v>
      </c>
      <c r="L152">
        <v>0</v>
      </c>
      <c r="M152">
        <v>149</v>
      </c>
      <c r="N152">
        <v>0</v>
      </c>
      <c r="O152">
        <v>314.08560859999801</v>
      </c>
      <c r="T152">
        <v>10</v>
      </c>
      <c r="U152">
        <v>314.06826530001098</v>
      </c>
      <c r="V152">
        <v>314.08560859999801</v>
      </c>
      <c r="W152">
        <v>314.08560859999801</v>
      </c>
      <c r="X152">
        <v>4.7780900000361698E-2</v>
      </c>
      <c r="Y152">
        <v>315.50238409999201</v>
      </c>
      <c r="Z152" t="s">
        <v>464</v>
      </c>
      <c r="AA152" t="s">
        <v>465</v>
      </c>
      <c r="AB152" t="s">
        <v>51</v>
      </c>
      <c r="AC152" t="s">
        <v>52</v>
      </c>
      <c r="AD152" t="s">
        <v>52</v>
      </c>
      <c r="AE152" t="s">
        <v>466</v>
      </c>
      <c r="AF152" t="s">
        <v>54</v>
      </c>
      <c r="AK152" t="s">
        <v>44</v>
      </c>
      <c r="AL152">
        <v>1</v>
      </c>
      <c r="AM152" t="s">
        <v>45</v>
      </c>
      <c r="AN152" t="s">
        <v>46</v>
      </c>
      <c r="AP152" t="s">
        <v>47</v>
      </c>
      <c r="AQ152">
        <v>60.044012257098402</v>
      </c>
      <c r="AR152" t="s">
        <v>48</v>
      </c>
    </row>
    <row r="153" spans="1:44" x14ac:dyDescent="0.35">
      <c r="A153">
        <v>150</v>
      </c>
      <c r="B153">
        <v>0</v>
      </c>
      <c r="C153">
        <v>150</v>
      </c>
      <c r="D153" t="s">
        <v>467</v>
      </c>
      <c r="E153" t="s">
        <v>468</v>
      </c>
      <c r="F153" t="s">
        <v>51</v>
      </c>
      <c r="G153" t="s">
        <v>52</v>
      </c>
      <c r="H153" t="s">
        <v>52</v>
      </c>
      <c r="I153">
        <v>2.10261890001129</v>
      </c>
      <c r="J153" t="s">
        <v>54</v>
      </c>
      <c r="K153">
        <v>150</v>
      </c>
      <c r="L153">
        <v>0</v>
      </c>
      <c r="M153">
        <v>150</v>
      </c>
      <c r="N153">
        <v>0</v>
      </c>
      <c r="O153">
        <v>315.54312220000401</v>
      </c>
      <c r="T153">
        <v>5</v>
      </c>
      <c r="U153">
        <v>315.530544900015</v>
      </c>
      <c r="V153">
        <v>315.54312220000401</v>
      </c>
      <c r="W153">
        <v>315.54312220000401</v>
      </c>
      <c r="X153">
        <v>2.7835799992317299E-2</v>
      </c>
      <c r="Y153">
        <v>317.63325300000702</v>
      </c>
      <c r="Z153" t="s">
        <v>467</v>
      </c>
      <c r="AA153" t="s">
        <v>468</v>
      </c>
      <c r="AB153" t="s">
        <v>51</v>
      </c>
      <c r="AC153" t="s">
        <v>52</v>
      </c>
      <c r="AD153" t="s">
        <v>52</v>
      </c>
      <c r="AE153" t="s">
        <v>469</v>
      </c>
      <c r="AF153" t="s">
        <v>54</v>
      </c>
      <c r="AK153" t="s">
        <v>44</v>
      </c>
      <c r="AL153">
        <v>1</v>
      </c>
      <c r="AM153" t="s">
        <v>45</v>
      </c>
      <c r="AN153" t="s">
        <v>46</v>
      </c>
      <c r="AP153" t="s">
        <v>47</v>
      </c>
      <c r="AQ153">
        <v>60.044012257098402</v>
      </c>
      <c r="AR153" t="s">
        <v>48</v>
      </c>
    </row>
    <row r="154" spans="1:44" x14ac:dyDescent="0.35">
      <c r="A154">
        <v>151</v>
      </c>
      <c r="B154">
        <v>0</v>
      </c>
      <c r="C154">
        <v>151</v>
      </c>
      <c r="D154" t="s">
        <v>470</v>
      </c>
      <c r="E154" t="s">
        <v>160</v>
      </c>
      <c r="F154" t="s">
        <v>51</v>
      </c>
      <c r="G154" t="s">
        <v>52</v>
      </c>
      <c r="H154" t="s">
        <v>52</v>
      </c>
      <c r="I154">
        <v>2.5078385999950101</v>
      </c>
      <c r="J154" t="s">
        <v>54</v>
      </c>
      <c r="K154">
        <v>151</v>
      </c>
      <c r="L154">
        <v>0</v>
      </c>
      <c r="M154">
        <v>151</v>
      </c>
      <c r="N154">
        <v>0</v>
      </c>
      <c r="O154">
        <v>317.69436459999997</v>
      </c>
      <c r="T154">
        <v>10</v>
      </c>
      <c r="U154">
        <v>317.67655279999599</v>
      </c>
      <c r="V154">
        <v>317.69436459999997</v>
      </c>
      <c r="W154">
        <v>317.69436459999997</v>
      </c>
      <c r="X154">
        <v>4.3122799979755599E-2</v>
      </c>
      <c r="Y154">
        <v>320.18449030001602</v>
      </c>
      <c r="Z154" t="s">
        <v>470</v>
      </c>
      <c r="AA154" t="s">
        <v>160</v>
      </c>
      <c r="AB154" t="s">
        <v>51</v>
      </c>
      <c r="AC154" t="s">
        <v>52</v>
      </c>
      <c r="AD154" t="s">
        <v>52</v>
      </c>
      <c r="AE154" t="s">
        <v>471</v>
      </c>
      <c r="AF154" t="s">
        <v>54</v>
      </c>
      <c r="AK154" t="s">
        <v>44</v>
      </c>
      <c r="AL154">
        <v>1</v>
      </c>
      <c r="AM154" t="s">
        <v>45</v>
      </c>
      <c r="AN154" t="s">
        <v>46</v>
      </c>
      <c r="AP154" t="s">
        <v>47</v>
      </c>
      <c r="AQ154">
        <v>60.044012257098402</v>
      </c>
      <c r="AR154" t="s">
        <v>48</v>
      </c>
    </row>
    <row r="155" spans="1:44" x14ac:dyDescent="0.35">
      <c r="A155">
        <v>152</v>
      </c>
      <c r="B155">
        <v>0</v>
      </c>
      <c r="C155">
        <v>152</v>
      </c>
      <c r="D155" t="s">
        <v>472</v>
      </c>
      <c r="E155" t="s">
        <v>473</v>
      </c>
      <c r="F155" t="s">
        <v>474</v>
      </c>
      <c r="G155" t="s">
        <v>475</v>
      </c>
      <c r="H155" t="s">
        <v>475</v>
      </c>
      <c r="I155" t="s">
        <v>604</v>
      </c>
      <c r="J155" t="s">
        <v>477</v>
      </c>
      <c r="K155">
        <v>152</v>
      </c>
      <c r="L155">
        <v>0</v>
      </c>
      <c r="M155">
        <v>152</v>
      </c>
      <c r="N155">
        <v>0</v>
      </c>
      <c r="O155">
        <v>320.21983899999702</v>
      </c>
      <c r="T155">
        <v>5</v>
      </c>
      <c r="U155">
        <v>320.20635079999897</v>
      </c>
      <c r="V155">
        <v>320.21983899999702</v>
      </c>
      <c r="W155">
        <v>320.21983899999702</v>
      </c>
      <c r="X155">
        <v>2.1651400020346E-2</v>
      </c>
      <c r="Y155">
        <v>322.38540910001001</v>
      </c>
      <c r="Z155" t="s">
        <v>472</v>
      </c>
      <c r="AA155" t="s">
        <v>473</v>
      </c>
      <c r="AB155" t="s">
        <v>474</v>
      </c>
      <c r="AC155" t="s">
        <v>475</v>
      </c>
      <c r="AD155" t="s">
        <v>475</v>
      </c>
      <c r="AE155" t="s">
        <v>476</v>
      </c>
      <c r="AF155" t="s">
        <v>477</v>
      </c>
      <c r="AK155" t="s">
        <v>44</v>
      </c>
      <c r="AL155">
        <v>1</v>
      </c>
      <c r="AM155" t="s">
        <v>45</v>
      </c>
      <c r="AN155" t="s">
        <v>46</v>
      </c>
      <c r="AP155" t="s">
        <v>47</v>
      </c>
      <c r="AQ155">
        <v>60.044012257098402</v>
      </c>
      <c r="AR155" t="s">
        <v>48</v>
      </c>
    </row>
    <row r="156" spans="1:44" x14ac:dyDescent="0.35">
      <c r="A156">
        <v>153</v>
      </c>
      <c r="B156">
        <v>0</v>
      </c>
      <c r="C156">
        <v>153</v>
      </c>
      <c r="D156" t="s">
        <v>478</v>
      </c>
      <c r="E156" t="s">
        <v>479</v>
      </c>
      <c r="F156" t="s">
        <v>474</v>
      </c>
      <c r="G156" t="s">
        <v>475</v>
      </c>
      <c r="H156" t="s">
        <v>475</v>
      </c>
      <c r="I156" t="s">
        <v>605</v>
      </c>
      <c r="J156" t="s">
        <v>477</v>
      </c>
      <c r="K156">
        <v>153</v>
      </c>
      <c r="L156">
        <v>0</v>
      </c>
      <c r="M156">
        <v>153</v>
      </c>
      <c r="N156">
        <v>0</v>
      </c>
      <c r="O156">
        <v>322.45636420001301</v>
      </c>
      <c r="T156">
        <v>10</v>
      </c>
      <c r="U156">
        <v>322.43682360000003</v>
      </c>
      <c r="V156">
        <v>322.45636420001301</v>
      </c>
      <c r="W156">
        <v>322.45636420001301</v>
      </c>
      <c r="X156">
        <v>5.1003500004298902E-2</v>
      </c>
      <c r="Y156">
        <v>325.65092139999598</v>
      </c>
      <c r="Z156" t="s">
        <v>478</v>
      </c>
      <c r="AA156" t="s">
        <v>479</v>
      </c>
      <c r="AB156" t="s">
        <v>474</v>
      </c>
      <c r="AC156" t="s">
        <v>475</v>
      </c>
      <c r="AD156" t="s">
        <v>475</v>
      </c>
      <c r="AE156" t="s">
        <v>480</v>
      </c>
      <c r="AF156" t="s">
        <v>477</v>
      </c>
      <c r="AK156" t="s">
        <v>44</v>
      </c>
      <c r="AL156">
        <v>1</v>
      </c>
      <c r="AM156" t="s">
        <v>45</v>
      </c>
      <c r="AN156" t="s">
        <v>46</v>
      </c>
      <c r="AP156" t="s">
        <v>47</v>
      </c>
      <c r="AQ156">
        <v>60.044012257098402</v>
      </c>
      <c r="AR156" t="s">
        <v>48</v>
      </c>
    </row>
    <row r="157" spans="1:44" x14ac:dyDescent="0.35">
      <c r="A157">
        <v>154</v>
      </c>
      <c r="B157">
        <v>0</v>
      </c>
      <c r="C157">
        <v>154</v>
      </c>
      <c r="D157" t="s">
        <v>481</v>
      </c>
      <c r="E157" t="s">
        <v>482</v>
      </c>
      <c r="F157" t="s">
        <v>51</v>
      </c>
      <c r="G157" t="s">
        <v>52</v>
      </c>
      <c r="H157" t="s">
        <v>52</v>
      </c>
      <c r="I157">
        <v>3.2111304999853001</v>
      </c>
      <c r="J157" t="s">
        <v>54</v>
      </c>
      <c r="K157">
        <v>154</v>
      </c>
      <c r="L157">
        <v>0</v>
      </c>
      <c r="M157">
        <v>154</v>
      </c>
      <c r="N157">
        <v>0</v>
      </c>
      <c r="O157">
        <v>325.68774550000597</v>
      </c>
      <c r="T157">
        <v>5</v>
      </c>
      <c r="U157">
        <v>325.67570220000903</v>
      </c>
      <c r="V157">
        <v>325.68774550000597</v>
      </c>
      <c r="W157">
        <v>325.68774550000597</v>
      </c>
      <c r="X157">
        <v>2.4526399996830098E-2</v>
      </c>
      <c r="Y157">
        <v>328.88699590001403</v>
      </c>
      <c r="Z157" t="s">
        <v>481</v>
      </c>
      <c r="AA157" t="s">
        <v>482</v>
      </c>
      <c r="AB157" t="s">
        <v>51</v>
      </c>
      <c r="AC157" t="s">
        <v>52</v>
      </c>
      <c r="AD157" t="s">
        <v>52</v>
      </c>
      <c r="AE157" t="s">
        <v>483</v>
      </c>
      <c r="AF157" t="s">
        <v>54</v>
      </c>
      <c r="AK157" t="s">
        <v>44</v>
      </c>
      <c r="AL157">
        <v>1</v>
      </c>
      <c r="AM157" t="s">
        <v>45</v>
      </c>
      <c r="AN157" t="s">
        <v>46</v>
      </c>
      <c r="AP157" t="s">
        <v>47</v>
      </c>
      <c r="AQ157">
        <v>60.044012257098402</v>
      </c>
      <c r="AR157" t="s">
        <v>48</v>
      </c>
    </row>
    <row r="158" spans="1:44" x14ac:dyDescent="0.35">
      <c r="A158">
        <v>155</v>
      </c>
      <c r="B158">
        <v>0</v>
      </c>
      <c r="C158">
        <v>155</v>
      </c>
      <c r="D158" t="s">
        <v>484</v>
      </c>
      <c r="E158" t="s">
        <v>485</v>
      </c>
      <c r="F158" t="s">
        <v>51</v>
      </c>
      <c r="G158" t="s">
        <v>52</v>
      </c>
      <c r="H158" t="s">
        <v>52</v>
      </c>
      <c r="I158">
        <v>1.2876168999937301</v>
      </c>
      <c r="J158" t="s">
        <v>54</v>
      </c>
      <c r="K158">
        <v>155</v>
      </c>
      <c r="L158">
        <v>0</v>
      </c>
      <c r="M158">
        <v>155</v>
      </c>
      <c r="N158">
        <v>0</v>
      </c>
      <c r="O158">
        <v>328.925361900008</v>
      </c>
      <c r="T158">
        <v>5</v>
      </c>
      <c r="U158">
        <v>328.91224150001602</v>
      </c>
      <c r="V158">
        <v>328.925361900008</v>
      </c>
      <c r="W158">
        <v>328.925361900008</v>
      </c>
      <c r="X158">
        <v>2.46954000031109E-2</v>
      </c>
      <c r="Y158">
        <v>330.20003239999602</v>
      </c>
      <c r="Z158" t="s">
        <v>484</v>
      </c>
      <c r="AA158" t="s">
        <v>485</v>
      </c>
      <c r="AB158" t="s">
        <v>51</v>
      </c>
      <c r="AC158" t="s">
        <v>52</v>
      </c>
      <c r="AD158" t="s">
        <v>52</v>
      </c>
      <c r="AE158" t="s">
        <v>486</v>
      </c>
      <c r="AF158" t="s">
        <v>54</v>
      </c>
      <c r="AK158" t="s">
        <v>44</v>
      </c>
      <c r="AL158">
        <v>1</v>
      </c>
      <c r="AM158" t="s">
        <v>45</v>
      </c>
      <c r="AN158" t="s">
        <v>46</v>
      </c>
      <c r="AP158" t="s">
        <v>47</v>
      </c>
      <c r="AQ158">
        <v>60.044012257098402</v>
      </c>
      <c r="AR158" t="s">
        <v>48</v>
      </c>
    </row>
    <row r="159" spans="1:44" x14ac:dyDescent="0.35">
      <c r="A159">
        <v>156</v>
      </c>
      <c r="B159">
        <v>0</v>
      </c>
      <c r="C159">
        <v>156</v>
      </c>
      <c r="D159" t="s">
        <v>487</v>
      </c>
      <c r="E159" t="s">
        <v>335</v>
      </c>
      <c r="F159" t="s">
        <v>51</v>
      </c>
      <c r="G159" t="s">
        <v>52</v>
      </c>
      <c r="H159" t="s">
        <v>52</v>
      </c>
      <c r="I159">
        <v>2.8360442999983202</v>
      </c>
      <c r="J159" t="s">
        <v>54</v>
      </c>
      <c r="K159">
        <v>156</v>
      </c>
      <c r="L159">
        <v>0</v>
      </c>
      <c r="M159">
        <v>156</v>
      </c>
      <c r="N159">
        <v>0</v>
      </c>
      <c r="O159">
        <v>330.26773339998903</v>
      </c>
      <c r="T159">
        <v>10</v>
      </c>
      <c r="U159">
        <v>330.24946089999798</v>
      </c>
      <c r="V159">
        <v>330.26773339998903</v>
      </c>
      <c r="W159">
        <v>330.26773339998903</v>
      </c>
      <c r="X159">
        <v>4.91715999960433E-2</v>
      </c>
      <c r="Y159">
        <v>333.08561710000498</v>
      </c>
      <c r="Z159" t="s">
        <v>487</v>
      </c>
      <c r="AA159" t="s">
        <v>335</v>
      </c>
      <c r="AB159" t="s">
        <v>51</v>
      </c>
      <c r="AC159" t="s">
        <v>52</v>
      </c>
      <c r="AD159" t="s">
        <v>52</v>
      </c>
      <c r="AE159" t="s">
        <v>488</v>
      </c>
      <c r="AF159" t="s">
        <v>54</v>
      </c>
      <c r="AK159" t="s">
        <v>44</v>
      </c>
      <c r="AL159">
        <v>1</v>
      </c>
      <c r="AM159" t="s">
        <v>45</v>
      </c>
      <c r="AN159" t="s">
        <v>46</v>
      </c>
      <c r="AP159" t="s">
        <v>47</v>
      </c>
      <c r="AQ159">
        <v>60.044012257098402</v>
      </c>
      <c r="AR159" t="s">
        <v>48</v>
      </c>
    </row>
    <row r="160" spans="1:44" x14ac:dyDescent="0.35">
      <c r="A160">
        <v>157</v>
      </c>
      <c r="B160">
        <v>0</v>
      </c>
      <c r="C160">
        <v>157</v>
      </c>
      <c r="D160" t="s">
        <v>489</v>
      </c>
      <c r="E160" t="s">
        <v>490</v>
      </c>
      <c r="F160" t="s">
        <v>51</v>
      </c>
      <c r="G160" t="s">
        <v>52</v>
      </c>
      <c r="H160" t="s">
        <v>52</v>
      </c>
      <c r="I160">
        <v>1.850414000015</v>
      </c>
      <c r="J160" t="s">
        <v>54</v>
      </c>
      <c r="K160">
        <v>157</v>
      </c>
      <c r="L160">
        <v>0</v>
      </c>
      <c r="M160">
        <v>157</v>
      </c>
      <c r="N160">
        <v>0</v>
      </c>
      <c r="O160">
        <v>333.155484999995</v>
      </c>
      <c r="T160">
        <v>10</v>
      </c>
      <c r="U160">
        <v>333.13568579999202</v>
      </c>
      <c r="V160">
        <v>333.155484999995</v>
      </c>
      <c r="W160">
        <v>333.155484999995</v>
      </c>
      <c r="X160">
        <v>4.9827699986053603E-2</v>
      </c>
      <c r="Y160">
        <v>334.98628849998897</v>
      </c>
      <c r="Z160" t="s">
        <v>489</v>
      </c>
      <c r="AA160" t="s">
        <v>490</v>
      </c>
      <c r="AB160" t="s">
        <v>51</v>
      </c>
      <c r="AC160" t="s">
        <v>52</v>
      </c>
      <c r="AD160" t="s">
        <v>52</v>
      </c>
      <c r="AE160" t="s">
        <v>491</v>
      </c>
      <c r="AF160" t="s">
        <v>54</v>
      </c>
      <c r="AK160" t="s">
        <v>44</v>
      </c>
      <c r="AL160">
        <v>1</v>
      </c>
      <c r="AM160" t="s">
        <v>45</v>
      </c>
      <c r="AN160" t="s">
        <v>46</v>
      </c>
      <c r="AP160" t="s">
        <v>47</v>
      </c>
      <c r="AQ160">
        <v>60.044012257098402</v>
      </c>
      <c r="AR160" t="s">
        <v>48</v>
      </c>
    </row>
    <row r="161" spans="1:44" x14ac:dyDescent="0.35">
      <c r="A161">
        <v>158</v>
      </c>
      <c r="B161">
        <v>0</v>
      </c>
      <c r="C161">
        <v>158</v>
      </c>
      <c r="D161" t="s">
        <v>492</v>
      </c>
      <c r="E161" t="s">
        <v>493</v>
      </c>
      <c r="F161" t="s">
        <v>474</v>
      </c>
      <c r="G161" t="s">
        <v>475</v>
      </c>
      <c r="H161" t="s">
        <v>475</v>
      </c>
      <c r="I161" t="s">
        <v>606</v>
      </c>
      <c r="J161" t="s">
        <v>477</v>
      </c>
      <c r="K161">
        <v>158</v>
      </c>
      <c r="L161">
        <v>0</v>
      </c>
      <c r="M161">
        <v>158</v>
      </c>
      <c r="N161">
        <v>0</v>
      </c>
      <c r="O161">
        <v>335.05729739999498</v>
      </c>
      <c r="T161">
        <v>10</v>
      </c>
      <c r="U161">
        <v>335.03693000000197</v>
      </c>
      <c r="V161">
        <v>335.05729739999498</v>
      </c>
      <c r="W161">
        <v>335.05729739999498</v>
      </c>
      <c r="X161">
        <v>5.0220000004628597E-2</v>
      </c>
      <c r="Y161">
        <v>337.28303150000198</v>
      </c>
      <c r="Z161" t="s">
        <v>492</v>
      </c>
      <c r="AA161" t="s">
        <v>493</v>
      </c>
      <c r="AB161" t="s">
        <v>474</v>
      </c>
      <c r="AC161" t="s">
        <v>475</v>
      </c>
      <c r="AD161" t="s">
        <v>475</v>
      </c>
      <c r="AE161" t="s">
        <v>494</v>
      </c>
      <c r="AF161" t="s">
        <v>477</v>
      </c>
      <c r="AK161" t="s">
        <v>44</v>
      </c>
      <c r="AL161">
        <v>1</v>
      </c>
      <c r="AM161" t="s">
        <v>45</v>
      </c>
      <c r="AN161" t="s">
        <v>46</v>
      </c>
      <c r="AP161" t="s">
        <v>47</v>
      </c>
      <c r="AQ161">
        <v>60.044012257098402</v>
      </c>
      <c r="AR161" t="s">
        <v>48</v>
      </c>
    </row>
    <row r="162" spans="1:44" x14ac:dyDescent="0.35">
      <c r="A162">
        <v>159</v>
      </c>
      <c r="B162">
        <v>0</v>
      </c>
      <c r="C162">
        <v>159</v>
      </c>
      <c r="D162" t="s">
        <v>495</v>
      </c>
      <c r="E162" t="s">
        <v>496</v>
      </c>
      <c r="F162" t="s">
        <v>51</v>
      </c>
      <c r="G162" t="s">
        <v>52</v>
      </c>
      <c r="H162" t="s">
        <v>52</v>
      </c>
      <c r="I162">
        <v>1.9343321000051199</v>
      </c>
      <c r="J162" t="s">
        <v>54</v>
      </c>
      <c r="K162">
        <v>159</v>
      </c>
      <c r="L162">
        <v>0</v>
      </c>
      <c r="M162">
        <v>159</v>
      </c>
      <c r="N162">
        <v>0</v>
      </c>
      <c r="O162">
        <v>337.35670199998998</v>
      </c>
      <c r="T162">
        <v>10</v>
      </c>
      <c r="U162">
        <v>337.33253370001302</v>
      </c>
      <c r="V162">
        <v>337.35670199998998</v>
      </c>
      <c r="W162">
        <v>337.35670199998998</v>
      </c>
      <c r="X162">
        <v>4.9136999994516303E-2</v>
      </c>
      <c r="Y162">
        <v>339.26699930001598</v>
      </c>
      <c r="Z162" t="s">
        <v>495</v>
      </c>
      <c r="AA162" t="s">
        <v>496</v>
      </c>
      <c r="AB162" t="s">
        <v>51</v>
      </c>
      <c r="AC162" t="s">
        <v>52</v>
      </c>
      <c r="AD162" t="s">
        <v>52</v>
      </c>
      <c r="AE162" t="s">
        <v>497</v>
      </c>
      <c r="AF162" t="s">
        <v>54</v>
      </c>
      <c r="AK162" t="s">
        <v>44</v>
      </c>
      <c r="AL162">
        <v>1</v>
      </c>
      <c r="AM162" t="s">
        <v>45</v>
      </c>
      <c r="AN162" t="s">
        <v>46</v>
      </c>
      <c r="AP162" t="s">
        <v>47</v>
      </c>
      <c r="AQ162">
        <v>60.044012257098402</v>
      </c>
      <c r="AR162" t="s">
        <v>48</v>
      </c>
    </row>
    <row r="163" spans="1:44" x14ac:dyDescent="0.35">
      <c r="A163">
        <v>160</v>
      </c>
      <c r="B163">
        <v>0</v>
      </c>
      <c r="C163">
        <v>160</v>
      </c>
      <c r="D163" t="s">
        <v>498</v>
      </c>
      <c r="E163" t="s">
        <v>499</v>
      </c>
      <c r="F163" t="s">
        <v>51</v>
      </c>
      <c r="G163" t="s">
        <v>52</v>
      </c>
      <c r="H163" t="s">
        <v>52</v>
      </c>
      <c r="I163">
        <v>1.7870884000149001</v>
      </c>
      <c r="J163" t="s">
        <v>54</v>
      </c>
      <c r="K163">
        <v>160</v>
      </c>
      <c r="L163">
        <v>0</v>
      </c>
      <c r="M163">
        <v>160</v>
      </c>
      <c r="N163">
        <v>0</v>
      </c>
      <c r="O163">
        <v>339.33539359999099</v>
      </c>
      <c r="T163">
        <v>10</v>
      </c>
      <c r="U163">
        <v>339.31584490000301</v>
      </c>
      <c r="V163">
        <v>339.33539359999099</v>
      </c>
      <c r="W163">
        <v>339.33539359999099</v>
      </c>
      <c r="X163">
        <v>4.8484900005860199E-2</v>
      </c>
      <c r="Y163">
        <v>341.10309029999098</v>
      </c>
      <c r="Z163" t="s">
        <v>498</v>
      </c>
      <c r="AA163" t="s">
        <v>499</v>
      </c>
      <c r="AB163" t="s">
        <v>51</v>
      </c>
      <c r="AC163" t="s">
        <v>52</v>
      </c>
      <c r="AD163" t="s">
        <v>52</v>
      </c>
      <c r="AE163" t="s">
        <v>500</v>
      </c>
      <c r="AF163" t="s">
        <v>54</v>
      </c>
      <c r="AK163" t="s">
        <v>44</v>
      </c>
      <c r="AL163">
        <v>1</v>
      </c>
      <c r="AM163" t="s">
        <v>45</v>
      </c>
      <c r="AN163" t="s">
        <v>46</v>
      </c>
      <c r="AP163" t="s">
        <v>47</v>
      </c>
      <c r="AQ163">
        <v>60.044012257098402</v>
      </c>
      <c r="AR163" t="s">
        <v>48</v>
      </c>
    </row>
    <row r="164" spans="1:44" x14ac:dyDescent="0.35">
      <c r="A164">
        <v>161</v>
      </c>
      <c r="B164">
        <v>0</v>
      </c>
      <c r="C164">
        <v>161</v>
      </c>
      <c r="D164" t="s">
        <v>501</v>
      </c>
      <c r="E164" t="s">
        <v>229</v>
      </c>
      <c r="F164" t="s">
        <v>51</v>
      </c>
      <c r="G164" t="s">
        <v>52</v>
      </c>
      <c r="H164" t="s">
        <v>52</v>
      </c>
      <c r="I164">
        <v>1.9703944999782801</v>
      </c>
      <c r="J164" t="s">
        <v>54</v>
      </c>
      <c r="K164">
        <v>161</v>
      </c>
      <c r="L164">
        <v>0</v>
      </c>
      <c r="M164">
        <v>161</v>
      </c>
      <c r="N164">
        <v>0</v>
      </c>
      <c r="O164">
        <v>341.14264830001002</v>
      </c>
      <c r="T164">
        <v>5</v>
      </c>
      <c r="U164">
        <v>341.12961800000602</v>
      </c>
      <c r="V164">
        <v>341.14264830001002</v>
      </c>
      <c r="W164">
        <v>341.14264830001002</v>
      </c>
      <c r="X164">
        <v>2.6188199990428901E-2</v>
      </c>
      <c r="Y164">
        <v>343.100151299993</v>
      </c>
      <c r="Z164" t="s">
        <v>501</v>
      </c>
      <c r="AA164" t="s">
        <v>229</v>
      </c>
      <c r="AB164" t="s">
        <v>51</v>
      </c>
      <c r="AC164" t="s">
        <v>52</v>
      </c>
      <c r="AD164" t="s">
        <v>52</v>
      </c>
      <c r="AE164" t="s">
        <v>502</v>
      </c>
      <c r="AF164" t="s">
        <v>54</v>
      </c>
      <c r="AK164" t="s">
        <v>44</v>
      </c>
      <c r="AL164">
        <v>1</v>
      </c>
      <c r="AM164" t="s">
        <v>45</v>
      </c>
      <c r="AN164" t="s">
        <v>46</v>
      </c>
      <c r="AP164" t="s">
        <v>47</v>
      </c>
      <c r="AQ164">
        <v>60.044012257098402</v>
      </c>
      <c r="AR164" t="s">
        <v>48</v>
      </c>
    </row>
    <row r="165" spans="1:44" x14ac:dyDescent="0.35">
      <c r="A165">
        <v>162</v>
      </c>
      <c r="B165">
        <v>0</v>
      </c>
      <c r="C165">
        <v>162</v>
      </c>
      <c r="D165" t="s">
        <v>503</v>
      </c>
      <c r="E165" t="s">
        <v>504</v>
      </c>
      <c r="F165" t="s">
        <v>51</v>
      </c>
      <c r="G165" t="s">
        <v>52</v>
      </c>
      <c r="H165" t="s">
        <v>52</v>
      </c>
      <c r="I165">
        <v>1.9871156000008301</v>
      </c>
      <c r="J165" t="s">
        <v>54</v>
      </c>
      <c r="K165">
        <v>162</v>
      </c>
      <c r="L165">
        <v>0</v>
      </c>
      <c r="M165">
        <v>162</v>
      </c>
      <c r="N165">
        <v>0</v>
      </c>
      <c r="O165">
        <v>343.16675470001002</v>
      </c>
      <c r="T165">
        <v>10</v>
      </c>
      <c r="U165">
        <v>343.148338600003</v>
      </c>
      <c r="V165">
        <v>343.16675470001002</v>
      </c>
      <c r="W165">
        <v>343.16675470001002</v>
      </c>
      <c r="X165">
        <v>4.7934000001987401E-2</v>
      </c>
      <c r="Y165">
        <v>345.13560500001699</v>
      </c>
      <c r="Z165" t="s">
        <v>503</v>
      </c>
      <c r="AA165" t="s">
        <v>504</v>
      </c>
      <c r="AB165" t="s">
        <v>51</v>
      </c>
      <c r="AC165" t="s">
        <v>52</v>
      </c>
      <c r="AD165" t="s">
        <v>52</v>
      </c>
      <c r="AE165" t="s">
        <v>505</v>
      </c>
      <c r="AF165" t="s">
        <v>54</v>
      </c>
      <c r="AK165" t="s">
        <v>44</v>
      </c>
      <c r="AL165">
        <v>1</v>
      </c>
      <c r="AM165" t="s">
        <v>45</v>
      </c>
      <c r="AN165" t="s">
        <v>46</v>
      </c>
      <c r="AP165" t="s">
        <v>47</v>
      </c>
      <c r="AQ165">
        <v>60.044012257098402</v>
      </c>
      <c r="AR165" t="s">
        <v>48</v>
      </c>
    </row>
    <row r="166" spans="1:44" x14ac:dyDescent="0.35">
      <c r="A166">
        <v>163</v>
      </c>
      <c r="B166">
        <v>0</v>
      </c>
      <c r="C166">
        <v>163</v>
      </c>
      <c r="D166" t="s">
        <v>506</v>
      </c>
      <c r="E166" t="s">
        <v>507</v>
      </c>
      <c r="F166" t="s">
        <v>51</v>
      </c>
      <c r="G166" t="s">
        <v>52</v>
      </c>
      <c r="H166" t="s">
        <v>52</v>
      </c>
      <c r="I166">
        <v>1.8697662999911699</v>
      </c>
      <c r="J166" t="s">
        <v>54</v>
      </c>
      <c r="K166">
        <v>163</v>
      </c>
      <c r="L166">
        <v>0</v>
      </c>
      <c r="M166">
        <v>163</v>
      </c>
      <c r="N166">
        <v>0</v>
      </c>
      <c r="O166">
        <v>345.176049000001</v>
      </c>
      <c r="T166">
        <v>5</v>
      </c>
      <c r="U166">
        <v>345.163580099993</v>
      </c>
      <c r="V166">
        <v>345.176049000001</v>
      </c>
      <c r="W166">
        <v>345.176049000001</v>
      </c>
      <c r="X166">
        <v>2.7597399981459599E-2</v>
      </c>
      <c r="Y166">
        <v>347.03346330000198</v>
      </c>
      <c r="Z166" t="s">
        <v>506</v>
      </c>
      <c r="AA166" t="s">
        <v>507</v>
      </c>
      <c r="AB166" t="s">
        <v>51</v>
      </c>
      <c r="AC166" t="s">
        <v>52</v>
      </c>
      <c r="AD166" t="s">
        <v>52</v>
      </c>
      <c r="AE166" t="s">
        <v>508</v>
      </c>
      <c r="AF166" t="s">
        <v>54</v>
      </c>
      <c r="AK166" t="s">
        <v>44</v>
      </c>
      <c r="AL166">
        <v>1</v>
      </c>
      <c r="AM166" t="s">
        <v>45</v>
      </c>
      <c r="AN166" t="s">
        <v>46</v>
      </c>
      <c r="AP166" t="s">
        <v>47</v>
      </c>
      <c r="AQ166">
        <v>60.044012257098402</v>
      </c>
      <c r="AR166" t="s">
        <v>48</v>
      </c>
    </row>
    <row r="167" spans="1:44" x14ac:dyDescent="0.35">
      <c r="A167">
        <v>164</v>
      </c>
      <c r="B167">
        <v>0</v>
      </c>
      <c r="C167">
        <v>164</v>
      </c>
      <c r="D167" t="s">
        <v>509</v>
      </c>
      <c r="E167" t="s">
        <v>510</v>
      </c>
      <c r="F167" t="s">
        <v>51</v>
      </c>
      <c r="G167" t="s">
        <v>52</v>
      </c>
      <c r="H167" t="s">
        <v>52</v>
      </c>
      <c r="I167">
        <v>1.4878751999931401</v>
      </c>
      <c r="J167" t="s">
        <v>54</v>
      </c>
      <c r="K167">
        <v>164</v>
      </c>
      <c r="L167">
        <v>0</v>
      </c>
      <c r="M167">
        <v>164</v>
      </c>
      <c r="N167">
        <v>0</v>
      </c>
      <c r="O167">
        <v>347.097001799993</v>
      </c>
      <c r="T167">
        <v>10</v>
      </c>
      <c r="U167">
        <v>347.07869449999998</v>
      </c>
      <c r="V167">
        <v>347.097001799993</v>
      </c>
      <c r="W167">
        <v>347.097001799993</v>
      </c>
      <c r="X167">
        <v>4.4941700005438102E-2</v>
      </c>
      <c r="Y167">
        <v>348.56667719999598</v>
      </c>
      <c r="Z167" t="s">
        <v>509</v>
      </c>
      <c r="AA167" t="s">
        <v>510</v>
      </c>
      <c r="AB167" t="s">
        <v>51</v>
      </c>
      <c r="AC167" t="s">
        <v>52</v>
      </c>
      <c r="AD167" t="s">
        <v>52</v>
      </c>
      <c r="AE167" t="s">
        <v>511</v>
      </c>
      <c r="AF167" t="s">
        <v>54</v>
      </c>
      <c r="AK167" t="s">
        <v>44</v>
      </c>
      <c r="AL167">
        <v>1</v>
      </c>
      <c r="AM167" t="s">
        <v>45</v>
      </c>
      <c r="AN167" t="s">
        <v>46</v>
      </c>
      <c r="AP167" t="s">
        <v>47</v>
      </c>
      <c r="AQ167">
        <v>60.044012257098402</v>
      </c>
      <c r="AR167" t="s">
        <v>48</v>
      </c>
    </row>
    <row r="168" spans="1:44" x14ac:dyDescent="0.35">
      <c r="A168">
        <v>165</v>
      </c>
      <c r="B168">
        <v>0</v>
      </c>
      <c r="C168">
        <v>165</v>
      </c>
      <c r="D168" t="s">
        <v>183</v>
      </c>
      <c r="E168" t="s">
        <v>512</v>
      </c>
      <c r="F168" t="s">
        <v>51</v>
      </c>
      <c r="G168" t="s">
        <v>52</v>
      </c>
      <c r="H168" t="s">
        <v>52</v>
      </c>
      <c r="I168">
        <v>1.5097192999964999</v>
      </c>
      <c r="J168" t="s">
        <v>54</v>
      </c>
      <c r="K168">
        <v>165</v>
      </c>
      <c r="L168">
        <v>0</v>
      </c>
      <c r="M168">
        <v>165</v>
      </c>
      <c r="N168">
        <v>0</v>
      </c>
      <c r="O168">
        <v>348.60416139999802</v>
      </c>
      <c r="T168">
        <v>5</v>
      </c>
      <c r="U168">
        <v>348.59150340000599</v>
      </c>
      <c r="V168">
        <v>348.60416139999802</v>
      </c>
      <c r="W168">
        <v>348.60416139999802</v>
      </c>
      <c r="X168">
        <v>2.4612200009869401E-2</v>
      </c>
      <c r="Y168">
        <v>350.10159269999701</v>
      </c>
      <c r="Z168" t="s">
        <v>183</v>
      </c>
      <c r="AA168" t="s">
        <v>512</v>
      </c>
      <c r="AB168" t="s">
        <v>51</v>
      </c>
      <c r="AC168" t="s">
        <v>52</v>
      </c>
      <c r="AD168" t="s">
        <v>52</v>
      </c>
      <c r="AE168" t="s">
        <v>513</v>
      </c>
      <c r="AF168" t="s">
        <v>54</v>
      </c>
      <c r="AK168" t="s">
        <v>44</v>
      </c>
      <c r="AL168">
        <v>1</v>
      </c>
      <c r="AM168" t="s">
        <v>45</v>
      </c>
      <c r="AN168" t="s">
        <v>46</v>
      </c>
      <c r="AP168" t="s">
        <v>47</v>
      </c>
      <c r="AQ168">
        <v>60.044012257098402</v>
      </c>
      <c r="AR168" t="s">
        <v>48</v>
      </c>
    </row>
    <row r="169" spans="1:44" x14ac:dyDescent="0.35">
      <c r="A169">
        <v>166</v>
      </c>
      <c r="B169">
        <v>0</v>
      </c>
      <c r="C169">
        <v>166</v>
      </c>
      <c r="D169" t="s">
        <v>133</v>
      </c>
      <c r="E169" t="s">
        <v>514</v>
      </c>
      <c r="F169" t="s">
        <v>51</v>
      </c>
      <c r="G169" t="s">
        <v>52</v>
      </c>
      <c r="H169" t="s">
        <v>52</v>
      </c>
      <c r="I169">
        <v>1.6866625999973599</v>
      </c>
      <c r="J169" t="s">
        <v>54</v>
      </c>
      <c r="K169">
        <v>166</v>
      </c>
      <c r="L169">
        <v>0</v>
      </c>
      <c r="M169">
        <v>166</v>
      </c>
      <c r="N169">
        <v>0</v>
      </c>
      <c r="O169">
        <v>350.16689600000899</v>
      </c>
      <c r="T169">
        <v>10</v>
      </c>
      <c r="U169">
        <v>350.14984040000098</v>
      </c>
      <c r="V169">
        <v>350.16689600000899</v>
      </c>
      <c r="W169">
        <v>350.16689600000899</v>
      </c>
      <c r="X169">
        <v>4.80755000025965E-2</v>
      </c>
      <c r="Y169">
        <v>351.83668639999797</v>
      </c>
      <c r="Z169" t="s">
        <v>133</v>
      </c>
      <c r="AA169" t="s">
        <v>514</v>
      </c>
      <c r="AB169" t="s">
        <v>51</v>
      </c>
      <c r="AC169" t="s">
        <v>52</v>
      </c>
      <c r="AD169" t="s">
        <v>52</v>
      </c>
      <c r="AE169" t="s">
        <v>515</v>
      </c>
      <c r="AF169" t="s">
        <v>54</v>
      </c>
      <c r="AK169" t="s">
        <v>44</v>
      </c>
      <c r="AL169">
        <v>1</v>
      </c>
      <c r="AM169" t="s">
        <v>45</v>
      </c>
      <c r="AN169" t="s">
        <v>46</v>
      </c>
      <c r="AP169" t="s">
        <v>47</v>
      </c>
      <c r="AQ169">
        <v>60.044012257098402</v>
      </c>
      <c r="AR169" t="s">
        <v>48</v>
      </c>
    </row>
    <row r="170" spans="1:44" x14ac:dyDescent="0.35">
      <c r="A170">
        <v>167</v>
      </c>
      <c r="B170">
        <v>0</v>
      </c>
      <c r="C170">
        <v>167</v>
      </c>
      <c r="D170" t="s">
        <v>516</v>
      </c>
      <c r="E170" t="s">
        <v>517</v>
      </c>
      <c r="F170" t="s">
        <v>51</v>
      </c>
      <c r="G170" t="s">
        <v>52</v>
      </c>
      <c r="H170" t="s">
        <v>52</v>
      </c>
      <c r="I170">
        <v>2.3960195000108699</v>
      </c>
      <c r="J170" t="s">
        <v>54</v>
      </c>
      <c r="K170">
        <v>167</v>
      </c>
      <c r="L170">
        <v>0</v>
      </c>
      <c r="M170">
        <v>167</v>
      </c>
      <c r="N170">
        <v>0</v>
      </c>
      <c r="O170">
        <v>351.90625800000203</v>
      </c>
      <c r="T170">
        <v>10</v>
      </c>
      <c r="U170">
        <v>351.88722669999697</v>
      </c>
      <c r="V170">
        <v>351.90625800000203</v>
      </c>
      <c r="W170">
        <v>351.90625800000203</v>
      </c>
      <c r="X170">
        <v>5.0194899988127803E-2</v>
      </c>
      <c r="Y170">
        <v>354.283388100011</v>
      </c>
      <c r="Z170" t="s">
        <v>516</v>
      </c>
      <c r="AA170" t="s">
        <v>517</v>
      </c>
      <c r="AB170" t="s">
        <v>51</v>
      </c>
      <c r="AC170" t="s">
        <v>52</v>
      </c>
      <c r="AD170" t="s">
        <v>52</v>
      </c>
      <c r="AE170" t="s">
        <v>518</v>
      </c>
      <c r="AF170" t="s">
        <v>54</v>
      </c>
      <c r="AK170" t="s">
        <v>44</v>
      </c>
      <c r="AL170">
        <v>1</v>
      </c>
      <c r="AM170" t="s">
        <v>45</v>
      </c>
      <c r="AN170" t="s">
        <v>46</v>
      </c>
      <c r="AP170" t="s">
        <v>47</v>
      </c>
      <c r="AQ170">
        <v>60.044012257098402</v>
      </c>
      <c r="AR170" t="s">
        <v>48</v>
      </c>
    </row>
    <row r="171" spans="1:44" x14ac:dyDescent="0.35">
      <c r="A171">
        <v>168</v>
      </c>
      <c r="B171">
        <v>0</v>
      </c>
      <c r="C171">
        <v>168</v>
      </c>
      <c r="D171" t="s">
        <v>519</v>
      </c>
      <c r="E171" t="s">
        <v>520</v>
      </c>
      <c r="F171" t="s">
        <v>51</v>
      </c>
      <c r="G171" t="s">
        <v>52</v>
      </c>
      <c r="H171" t="s">
        <v>52</v>
      </c>
      <c r="I171">
        <v>2.1214257999963499</v>
      </c>
      <c r="J171" t="s">
        <v>54</v>
      </c>
      <c r="K171">
        <v>168</v>
      </c>
      <c r="L171">
        <v>0</v>
      </c>
      <c r="M171">
        <v>168</v>
      </c>
      <c r="N171">
        <v>0</v>
      </c>
      <c r="O171">
        <v>354.35247119999201</v>
      </c>
      <c r="T171">
        <v>10</v>
      </c>
      <c r="U171">
        <v>354.330208300001</v>
      </c>
      <c r="V171">
        <v>354.35247119999201</v>
      </c>
      <c r="W171">
        <v>354.35247119999201</v>
      </c>
      <c r="X171">
        <v>4.6469399996567497E-2</v>
      </c>
      <c r="Y171">
        <v>356.45176429999901</v>
      </c>
      <c r="Z171" t="s">
        <v>519</v>
      </c>
      <c r="AA171" t="s">
        <v>520</v>
      </c>
      <c r="AB171" t="s">
        <v>51</v>
      </c>
      <c r="AC171" t="s">
        <v>52</v>
      </c>
      <c r="AD171" t="s">
        <v>52</v>
      </c>
      <c r="AE171" t="s">
        <v>521</v>
      </c>
      <c r="AF171" t="s">
        <v>54</v>
      </c>
      <c r="AK171" t="s">
        <v>44</v>
      </c>
      <c r="AL171">
        <v>1</v>
      </c>
      <c r="AM171" t="s">
        <v>45</v>
      </c>
      <c r="AN171" t="s">
        <v>46</v>
      </c>
      <c r="AP171" t="s">
        <v>47</v>
      </c>
      <c r="AQ171">
        <v>60.044012257098402</v>
      </c>
      <c r="AR171" t="s">
        <v>48</v>
      </c>
    </row>
    <row r="172" spans="1:44" x14ac:dyDescent="0.35">
      <c r="A172">
        <v>169</v>
      </c>
      <c r="B172">
        <v>0</v>
      </c>
      <c r="C172">
        <v>169</v>
      </c>
      <c r="D172" t="s">
        <v>522</v>
      </c>
      <c r="E172" t="s">
        <v>523</v>
      </c>
      <c r="F172" t="s">
        <v>51</v>
      </c>
      <c r="G172" t="s">
        <v>52</v>
      </c>
      <c r="H172" t="s">
        <v>52</v>
      </c>
      <c r="I172">
        <v>2.1041998000000599</v>
      </c>
      <c r="J172" t="s">
        <v>54</v>
      </c>
      <c r="K172">
        <v>169</v>
      </c>
      <c r="L172">
        <v>0</v>
      </c>
      <c r="M172">
        <v>169</v>
      </c>
      <c r="N172">
        <v>0</v>
      </c>
      <c r="O172">
        <v>356.493006400007</v>
      </c>
      <c r="T172">
        <v>5</v>
      </c>
      <c r="U172">
        <v>356.47875730000601</v>
      </c>
      <c r="V172">
        <v>356.493006400007</v>
      </c>
      <c r="W172">
        <v>356.493006400007</v>
      </c>
      <c r="X172">
        <v>2.6678900001570499E-2</v>
      </c>
      <c r="Y172">
        <v>358.58308760001</v>
      </c>
      <c r="Z172" t="s">
        <v>522</v>
      </c>
      <c r="AA172" t="s">
        <v>523</v>
      </c>
      <c r="AB172" t="s">
        <v>51</v>
      </c>
      <c r="AC172" t="s">
        <v>52</v>
      </c>
      <c r="AD172" t="s">
        <v>52</v>
      </c>
      <c r="AE172" t="s">
        <v>524</v>
      </c>
      <c r="AF172" t="s">
        <v>54</v>
      </c>
      <c r="AK172" t="s">
        <v>44</v>
      </c>
      <c r="AL172">
        <v>1</v>
      </c>
      <c r="AM172" t="s">
        <v>45</v>
      </c>
      <c r="AN172" t="s">
        <v>46</v>
      </c>
      <c r="AP172" t="s">
        <v>47</v>
      </c>
      <c r="AQ172">
        <v>60.044012257098402</v>
      </c>
      <c r="AR172" t="s">
        <v>48</v>
      </c>
    </row>
    <row r="173" spans="1:44" x14ac:dyDescent="0.35">
      <c r="A173">
        <v>170</v>
      </c>
      <c r="B173">
        <v>0</v>
      </c>
      <c r="C173">
        <v>170</v>
      </c>
      <c r="D173" t="s">
        <v>525</v>
      </c>
      <c r="E173" t="s">
        <v>526</v>
      </c>
      <c r="F173" t="s">
        <v>51</v>
      </c>
      <c r="G173" t="s">
        <v>52</v>
      </c>
      <c r="H173" t="s">
        <v>52</v>
      </c>
      <c r="I173">
        <v>1.83584219997283</v>
      </c>
      <c r="J173" t="s">
        <v>54</v>
      </c>
      <c r="K173">
        <v>170</v>
      </c>
      <c r="L173">
        <v>0</v>
      </c>
      <c r="M173">
        <v>170</v>
      </c>
      <c r="N173">
        <v>0</v>
      </c>
      <c r="O173">
        <v>358.652424300002</v>
      </c>
      <c r="T173">
        <v>10</v>
      </c>
      <c r="U173">
        <v>358.63343390001597</v>
      </c>
      <c r="V173">
        <v>358.652424300002</v>
      </c>
      <c r="W173">
        <v>358.652424300002</v>
      </c>
      <c r="X173">
        <v>5.0054099992848898E-2</v>
      </c>
      <c r="Y173">
        <v>360.46943460000301</v>
      </c>
      <c r="Z173" t="s">
        <v>525</v>
      </c>
      <c r="AA173" t="s">
        <v>526</v>
      </c>
      <c r="AB173" t="s">
        <v>51</v>
      </c>
      <c r="AC173" t="s">
        <v>52</v>
      </c>
      <c r="AD173" t="s">
        <v>52</v>
      </c>
      <c r="AE173" t="s">
        <v>527</v>
      </c>
      <c r="AF173" t="s">
        <v>54</v>
      </c>
      <c r="AK173" t="s">
        <v>44</v>
      </c>
      <c r="AL173">
        <v>1</v>
      </c>
      <c r="AM173" t="s">
        <v>45</v>
      </c>
      <c r="AN173" t="s">
        <v>46</v>
      </c>
      <c r="AP173" t="s">
        <v>47</v>
      </c>
      <c r="AQ173">
        <v>60.044012257098402</v>
      </c>
      <c r="AR173" t="s">
        <v>48</v>
      </c>
    </row>
    <row r="174" spans="1:44" x14ac:dyDescent="0.35">
      <c r="A174">
        <v>171</v>
      </c>
      <c r="B174">
        <v>0</v>
      </c>
      <c r="C174">
        <v>171</v>
      </c>
      <c r="D174" t="s">
        <v>79</v>
      </c>
      <c r="E174" t="s">
        <v>528</v>
      </c>
      <c r="F174" t="s">
        <v>51</v>
      </c>
      <c r="G174" t="s">
        <v>52</v>
      </c>
      <c r="H174" t="s">
        <v>52</v>
      </c>
      <c r="I174">
        <v>2.05563610000535</v>
      </c>
      <c r="J174" t="s">
        <v>54</v>
      </c>
      <c r="K174">
        <v>171</v>
      </c>
      <c r="L174">
        <v>0</v>
      </c>
      <c r="M174">
        <v>171</v>
      </c>
      <c r="N174">
        <v>0</v>
      </c>
      <c r="O174">
        <v>360.50793990000898</v>
      </c>
      <c r="T174">
        <v>5</v>
      </c>
      <c r="U174">
        <v>360.495203700003</v>
      </c>
      <c r="V174">
        <v>360.50793990000898</v>
      </c>
      <c r="W174">
        <v>360.50793990000898</v>
      </c>
      <c r="X174">
        <v>2.5484999991021998E-2</v>
      </c>
      <c r="Y174">
        <v>362.55099439999299</v>
      </c>
      <c r="Z174" t="s">
        <v>79</v>
      </c>
      <c r="AA174" t="s">
        <v>528</v>
      </c>
      <c r="AB174" t="s">
        <v>51</v>
      </c>
      <c r="AC174" t="s">
        <v>52</v>
      </c>
      <c r="AD174" t="s">
        <v>52</v>
      </c>
      <c r="AE174" t="s">
        <v>529</v>
      </c>
      <c r="AF174" t="s">
        <v>54</v>
      </c>
      <c r="AK174" t="s">
        <v>44</v>
      </c>
      <c r="AL174">
        <v>1</v>
      </c>
      <c r="AM174" t="s">
        <v>45</v>
      </c>
      <c r="AN174" t="s">
        <v>46</v>
      </c>
      <c r="AP174" t="s">
        <v>47</v>
      </c>
      <c r="AQ174">
        <v>60.044012257098402</v>
      </c>
      <c r="AR174" t="s">
        <v>48</v>
      </c>
    </row>
    <row r="175" spans="1:44" x14ac:dyDescent="0.35">
      <c r="A175">
        <v>172</v>
      </c>
      <c r="B175">
        <v>0</v>
      </c>
      <c r="C175">
        <v>172</v>
      </c>
      <c r="D175" t="s">
        <v>530</v>
      </c>
      <c r="E175" t="s">
        <v>531</v>
      </c>
      <c r="F175" t="s">
        <v>51</v>
      </c>
      <c r="G175" t="s">
        <v>52</v>
      </c>
      <c r="H175" t="s">
        <v>52</v>
      </c>
      <c r="I175">
        <v>1.59296270000049</v>
      </c>
      <c r="J175" t="s">
        <v>54</v>
      </c>
      <c r="K175">
        <v>172</v>
      </c>
      <c r="L175">
        <v>0</v>
      </c>
      <c r="M175">
        <v>172</v>
      </c>
      <c r="N175">
        <v>0</v>
      </c>
      <c r="O175">
        <v>362.63424600000099</v>
      </c>
      <c r="T175">
        <v>10</v>
      </c>
      <c r="U175">
        <v>362.608040899998</v>
      </c>
      <c r="V175">
        <v>362.63424600000099</v>
      </c>
      <c r="W175">
        <v>362.63424600000099</v>
      </c>
      <c r="X175">
        <v>5.67901999747846E-2</v>
      </c>
      <c r="Y175">
        <v>364.20109109999601</v>
      </c>
      <c r="Z175" t="s">
        <v>530</v>
      </c>
      <c r="AA175" t="s">
        <v>531</v>
      </c>
      <c r="AB175" t="s">
        <v>51</v>
      </c>
      <c r="AC175" t="s">
        <v>52</v>
      </c>
      <c r="AD175" t="s">
        <v>52</v>
      </c>
      <c r="AE175" t="s">
        <v>532</v>
      </c>
      <c r="AF175" t="s">
        <v>54</v>
      </c>
      <c r="AK175" t="s">
        <v>44</v>
      </c>
      <c r="AL175">
        <v>1</v>
      </c>
      <c r="AM175" t="s">
        <v>45</v>
      </c>
      <c r="AN175" t="s">
        <v>46</v>
      </c>
      <c r="AP175" t="s">
        <v>47</v>
      </c>
      <c r="AQ175">
        <v>60.044012257098402</v>
      </c>
      <c r="AR175" t="s">
        <v>48</v>
      </c>
    </row>
    <row r="176" spans="1:44" x14ac:dyDescent="0.35">
      <c r="A176">
        <v>173</v>
      </c>
      <c r="B176">
        <v>0</v>
      </c>
      <c r="C176">
        <v>173</v>
      </c>
      <c r="D176" t="s">
        <v>465</v>
      </c>
      <c r="E176" t="s">
        <v>533</v>
      </c>
      <c r="F176" t="s">
        <v>51</v>
      </c>
      <c r="G176" t="s">
        <v>52</v>
      </c>
      <c r="H176" t="s">
        <v>52</v>
      </c>
      <c r="I176">
        <v>1.2698707999952601</v>
      </c>
      <c r="J176" t="s">
        <v>54</v>
      </c>
      <c r="K176">
        <v>173</v>
      </c>
      <c r="L176">
        <v>0</v>
      </c>
      <c r="M176">
        <v>173</v>
      </c>
      <c r="N176">
        <v>0</v>
      </c>
      <c r="O176">
        <v>364.24291639999097</v>
      </c>
      <c r="T176">
        <v>5</v>
      </c>
      <c r="U176">
        <v>364.23149159998798</v>
      </c>
      <c r="V176">
        <v>364.24291639999097</v>
      </c>
      <c r="W176">
        <v>364.24291639999097</v>
      </c>
      <c r="X176">
        <v>2.97469999932218E-2</v>
      </c>
      <c r="Y176">
        <v>365.50152109999902</v>
      </c>
      <c r="Z176" t="s">
        <v>465</v>
      </c>
      <c r="AA176" t="s">
        <v>533</v>
      </c>
      <c r="AB176" t="s">
        <v>51</v>
      </c>
      <c r="AC176" t="s">
        <v>52</v>
      </c>
      <c r="AD176" t="s">
        <v>52</v>
      </c>
      <c r="AE176" t="s">
        <v>534</v>
      </c>
      <c r="AF176" t="s">
        <v>54</v>
      </c>
      <c r="AK176" t="s">
        <v>44</v>
      </c>
      <c r="AL176">
        <v>1</v>
      </c>
      <c r="AM176" t="s">
        <v>45</v>
      </c>
      <c r="AN176" t="s">
        <v>46</v>
      </c>
      <c r="AP176" t="s">
        <v>47</v>
      </c>
      <c r="AQ176">
        <v>60.044012257098402</v>
      </c>
      <c r="AR176" t="s">
        <v>48</v>
      </c>
    </row>
    <row r="177" spans="1:44" x14ac:dyDescent="0.35">
      <c r="A177">
        <v>174</v>
      </c>
      <c r="B177">
        <v>0</v>
      </c>
      <c r="C177">
        <v>174</v>
      </c>
      <c r="D177" t="s">
        <v>535</v>
      </c>
      <c r="E177" t="s">
        <v>536</v>
      </c>
      <c r="F177" t="s">
        <v>51</v>
      </c>
      <c r="G177" t="s">
        <v>52</v>
      </c>
      <c r="H177" t="s">
        <v>52</v>
      </c>
      <c r="I177">
        <v>2.1228621999907702</v>
      </c>
      <c r="J177" t="s">
        <v>54</v>
      </c>
      <c r="K177">
        <v>174</v>
      </c>
      <c r="L177">
        <v>0</v>
      </c>
      <c r="M177">
        <v>174</v>
      </c>
      <c r="N177">
        <v>0</v>
      </c>
      <c r="O177">
        <v>365.538502999988</v>
      </c>
      <c r="T177">
        <v>5</v>
      </c>
      <c r="U177">
        <v>365.5281809</v>
      </c>
      <c r="V177">
        <v>365.538502999988</v>
      </c>
      <c r="W177">
        <v>365.538502999988</v>
      </c>
      <c r="X177">
        <v>2.6393700012704299E-2</v>
      </c>
      <c r="Y177">
        <v>367.65117590001302</v>
      </c>
      <c r="Z177" t="s">
        <v>535</v>
      </c>
      <c r="AA177" t="s">
        <v>536</v>
      </c>
      <c r="AB177" t="s">
        <v>51</v>
      </c>
      <c r="AC177" t="s">
        <v>52</v>
      </c>
      <c r="AD177" t="s">
        <v>52</v>
      </c>
      <c r="AE177" t="s">
        <v>537</v>
      </c>
      <c r="AF177" t="s">
        <v>54</v>
      </c>
      <c r="AK177" t="s">
        <v>44</v>
      </c>
      <c r="AL177">
        <v>1</v>
      </c>
      <c r="AM177" t="s">
        <v>45</v>
      </c>
      <c r="AN177" t="s">
        <v>46</v>
      </c>
      <c r="AP177" t="s">
        <v>47</v>
      </c>
      <c r="AQ177">
        <v>60.044012257098402</v>
      </c>
      <c r="AR177" t="s">
        <v>48</v>
      </c>
    </row>
    <row r="178" spans="1:44" x14ac:dyDescent="0.35">
      <c r="A178">
        <v>175</v>
      </c>
      <c r="B178">
        <v>0</v>
      </c>
      <c r="C178">
        <v>175</v>
      </c>
      <c r="D178" t="s">
        <v>538</v>
      </c>
      <c r="E178" t="s">
        <v>218</v>
      </c>
      <c r="F178" t="s">
        <v>51</v>
      </c>
      <c r="G178" t="s">
        <v>52</v>
      </c>
      <c r="H178" t="s">
        <v>52</v>
      </c>
      <c r="I178">
        <v>1.6231388000014699</v>
      </c>
      <c r="J178" t="s">
        <v>54</v>
      </c>
      <c r="K178">
        <v>175</v>
      </c>
      <c r="L178">
        <v>0</v>
      </c>
      <c r="M178">
        <v>175</v>
      </c>
      <c r="N178">
        <v>0</v>
      </c>
      <c r="O178">
        <v>367.68879740001199</v>
      </c>
      <c r="T178">
        <v>5</v>
      </c>
      <c r="U178">
        <v>367.676788100012</v>
      </c>
      <c r="V178">
        <v>367.68879740001199</v>
      </c>
      <c r="W178">
        <v>367.68879740001199</v>
      </c>
      <c r="X178">
        <v>2.5334100006148198E-2</v>
      </c>
      <c r="Y178">
        <v>369.30006889998901</v>
      </c>
      <c r="Z178" t="s">
        <v>538</v>
      </c>
      <c r="AA178" t="s">
        <v>218</v>
      </c>
      <c r="AB178" t="s">
        <v>51</v>
      </c>
      <c r="AC178" t="s">
        <v>52</v>
      </c>
      <c r="AD178" t="s">
        <v>52</v>
      </c>
      <c r="AE178" t="s">
        <v>539</v>
      </c>
      <c r="AF178" t="s">
        <v>54</v>
      </c>
      <c r="AK178" t="s">
        <v>44</v>
      </c>
      <c r="AL178">
        <v>1</v>
      </c>
      <c r="AM178" t="s">
        <v>45</v>
      </c>
      <c r="AN178" t="s">
        <v>46</v>
      </c>
      <c r="AP178" t="s">
        <v>47</v>
      </c>
      <c r="AQ178">
        <v>60.044012257098402</v>
      </c>
      <c r="AR178" t="s">
        <v>48</v>
      </c>
    </row>
    <row r="179" spans="1:44" x14ac:dyDescent="0.35">
      <c r="A179">
        <v>176</v>
      </c>
      <c r="B179">
        <v>0</v>
      </c>
      <c r="C179">
        <v>176</v>
      </c>
      <c r="D179" t="s">
        <v>540</v>
      </c>
      <c r="E179" t="s">
        <v>308</v>
      </c>
      <c r="F179" t="s">
        <v>51</v>
      </c>
      <c r="G179" t="s">
        <v>52</v>
      </c>
      <c r="H179" t="s">
        <v>52</v>
      </c>
      <c r="I179">
        <v>2.0392717000213398</v>
      </c>
      <c r="J179" t="s">
        <v>54</v>
      </c>
      <c r="K179">
        <v>176</v>
      </c>
      <c r="L179">
        <v>0</v>
      </c>
      <c r="M179">
        <v>176</v>
      </c>
      <c r="N179">
        <v>0</v>
      </c>
      <c r="O179">
        <v>369.34260930001602</v>
      </c>
      <c r="T179">
        <v>5</v>
      </c>
      <c r="U179">
        <v>369.32851759999102</v>
      </c>
      <c r="V179">
        <v>369.34260930001602</v>
      </c>
      <c r="W179">
        <v>369.34260930001602</v>
      </c>
      <c r="X179">
        <v>2.8209999989485299E-2</v>
      </c>
      <c r="Y179">
        <v>371.36794110000397</v>
      </c>
      <c r="Z179" t="s">
        <v>540</v>
      </c>
      <c r="AA179" t="s">
        <v>308</v>
      </c>
      <c r="AB179" t="s">
        <v>51</v>
      </c>
      <c r="AC179" t="s">
        <v>52</v>
      </c>
      <c r="AD179" t="s">
        <v>52</v>
      </c>
      <c r="AE179" t="s">
        <v>541</v>
      </c>
      <c r="AF179" t="s">
        <v>54</v>
      </c>
      <c r="AK179" t="s">
        <v>44</v>
      </c>
      <c r="AL179">
        <v>1</v>
      </c>
      <c r="AM179" t="s">
        <v>45</v>
      </c>
      <c r="AN179" t="s">
        <v>46</v>
      </c>
      <c r="AP179" t="s">
        <v>47</v>
      </c>
      <c r="AQ179">
        <v>60.044012257098402</v>
      </c>
      <c r="AR179" t="s">
        <v>48</v>
      </c>
    </row>
    <row r="180" spans="1:44" x14ac:dyDescent="0.35">
      <c r="A180">
        <v>177</v>
      </c>
      <c r="B180">
        <v>0</v>
      </c>
      <c r="C180">
        <v>177</v>
      </c>
      <c r="D180" t="s">
        <v>542</v>
      </c>
      <c r="E180" t="s">
        <v>543</v>
      </c>
      <c r="F180" t="s">
        <v>51</v>
      </c>
      <c r="G180" t="s">
        <v>52</v>
      </c>
      <c r="H180" t="s">
        <v>52</v>
      </c>
      <c r="I180">
        <v>3.46010409999871</v>
      </c>
      <c r="J180" t="s">
        <v>54</v>
      </c>
      <c r="K180">
        <v>177</v>
      </c>
      <c r="L180">
        <v>0</v>
      </c>
      <c r="M180">
        <v>177</v>
      </c>
      <c r="N180">
        <v>0</v>
      </c>
      <c r="O180">
        <v>371.44242400000797</v>
      </c>
      <c r="T180">
        <v>10</v>
      </c>
      <c r="U180">
        <v>371.42291809999699</v>
      </c>
      <c r="V180">
        <v>371.44242400000797</v>
      </c>
      <c r="W180">
        <v>371.44242400000797</v>
      </c>
      <c r="X180">
        <v>5.3852500015636899E-2</v>
      </c>
      <c r="Y180">
        <v>374.88316820000102</v>
      </c>
      <c r="Z180" t="s">
        <v>542</v>
      </c>
      <c r="AA180" t="s">
        <v>543</v>
      </c>
      <c r="AB180" t="s">
        <v>51</v>
      </c>
      <c r="AC180" t="s">
        <v>52</v>
      </c>
      <c r="AD180" t="s">
        <v>52</v>
      </c>
      <c r="AE180" t="s">
        <v>544</v>
      </c>
      <c r="AF180" t="s">
        <v>54</v>
      </c>
      <c r="AK180" t="s">
        <v>44</v>
      </c>
      <c r="AL180">
        <v>1</v>
      </c>
      <c r="AM180" t="s">
        <v>45</v>
      </c>
      <c r="AN180" t="s">
        <v>46</v>
      </c>
      <c r="AP180" t="s">
        <v>47</v>
      </c>
      <c r="AQ180">
        <v>60.044012257098402</v>
      </c>
      <c r="AR180" t="s">
        <v>48</v>
      </c>
    </row>
    <row r="181" spans="1:44" x14ac:dyDescent="0.35">
      <c r="A181">
        <v>178</v>
      </c>
      <c r="B181">
        <v>0</v>
      </c>
      <c r="C181">
        <v>178</v>
      </c>
      <c r="D181" t="s">
        <v>218</v>
      </c>
      <c r="E181" t="s">
        <v>545</v>
      </c>
      <c r="F181" t="s">
        <v>51</v>
      </c>
      <c r="G181" t="s">
        <v>52</v>
      </c>
      <c r="H181" t="s">
        <v>52</v>
      </c>
      <c r="I181">
        <v>1.40028780000284</v>
      </c>
      <c r="J181" t="s">
        <v>54</v>
      </c>
      <c r="K181">
        <v>178</v>
      </c>
      <c r="L181">
        <v>0</v>
      </c>
      <c r="M181">
        <v>178</v>
      </c>
      <c r="N181">
        <v>0</v>
      </c>
      <c r="O181">
        <v>374.93165939999699</v>
      </c>
      <c r="T181">
        <v>5</v>
      </c>
      <c r="U181">
        <v>374.91710920000298</v>
      </c>
      <c r="V181">
        <v>374.93165939999699</v>
      </c>
      <c r="W181">
        <v>374.93165939999699</v>
      </c>
      <c r="X181">
        <v>3.36508000036701E-2</v>
      </c>
      <c r="Y181">
        <v>376.31751399999399</v>
      </c>
      <c r="Z181" t="s">
        <v>218</v>
      </c>
      <c r="AA181" t="s">
        <v>545</v>
      </c>
      <c r="AB181" t="s">
        <v>51</v>
      </c>
      <c r="AC181" t="s">
        <v>52</v>
      </c>
      <c r="AD181" t="s">
        <v>52</v>
      </c>
      <c r="AE181" t="s">
        <v>546</v>
      </c>
      <c r="AF181" t="s">
        <v>54</v>
      </c>
      <c r="AK181" t="s">
        <v>44</v>
      </c>
      <c r="AL181">
        <v>1</v>
      </c>
      <c r="AM181" t="s">
        <v>45</v>
      </c>
      <c r="AN181" t="s">
        <v>46</v>
      </c>
      <c r="AP181" t="s">
        <v>47</v>
      </c>
      <c r="AQ181">
        <v>60.044012257098402</v>
      </c>
      <c r="AR181" t="s">
        <v>48</v>
      </c>
    </row>
    <row r="182" spans="1:44" x14ac:dyDescent="0.35">
      <c r="A182">
        <v>179</v>
      </c>
      <c r="B182">
        <v>0</v>
      </c>
      <c r="C182">
        <v>179</v>
      </c>
      <c r="D182" t="s">
        <v>547</v>
      </c>
      <c r="E182" t="s">
        <v>548</v>
      </c>
      <c r="F182" t="s">
        <v>51</v>
      </c>
      <c r="G182" t="s">
        <v>52</v>
      </c>
      <c r="H182" t="s">
        <v>52</v>
      </c>
      <c r="I182">
        <v>1.3301160999981201</v>
      </c>
      <c r="J182" t="s">
        <v>54</v>
      </c>
      <c r="K182">
        <v>179</v>
      </c>
      <c r="L182">
        <v>0</v>
      </c>
      <c r="M182">
        <v>179</v>
      </c>
      <c r="N182">
        <v>0</v>
      </c>
      <c r="O182">
        <v>376.39039799998801</v>
      </c>
      <c r="T182">
        <v>10</v>
      </c>
      <c r="U182">
        <v>376.36946469999299</v>
      </c>
      <c r="V182">
        <v>376.39039799998801</v>
      </c>
      <c r="W182">
        <v>376.39039799998801</v>
      </c>
      <c r="X182">
        <v>5.16896000190172E-2</v>
      </c>
      <c r="Y182">
        <v>377.69977860001302</v>
      </c>
      <c r="Z182" t="s">
        <v>547</v>
      </c>
      <c r="AA182" t="s">
        <v>548</v>
      </c>
      <c r="AB182" t="s">
        <v>51</v>
      </c>
      <c r="AC182" t="s">
        <v>52</v>
      </c>
      <c r="AD182" t="s">
        <v>52</v>
      </c>
      <c r="AE182" t="s">
        <v>549</v>
      </c>
      <c r="AF182" t="s">
        <v>54</v>
      </c>
      <c r="AK182" t="s">
        <v>44</v>
      </c>
      <c r="AL182">
        <v>1</v>
      </c>
      <c r="AM182" t="s">
        <v>45</v>
      </c>
      <c r="AN182" t="s">
        <v>46</v>
      </c>
      <c r="AP182" t="s">
        <v>47</v>
      </c>
      <c r="AQ182">
        <v>60.044012257098402</v>
      </c>
      <c r="AR182" t="s">
        <v>48</v>
      </c>
    </row>
    <row r="183" spans="1:44" x14ac:dyDescent="0.35">
      <c r="A183">
        <v>180</v>
      </c>
      <c r="B183">
        <v>0</v>
      </c>
      <c r="C183">
        <v>180</v>
      </c>
      <c r="D183" t="s">
        <v>550</v>
      </c>
      <c r="E183" t="s">
        <v>551</v>
      </c>
      <c r="F183" t="s">
        <v>51</v>
      </c>
      <c r="G183" t="s">
        <v>52</v>
      </c>
      <c r="H183" t="s">
        <v>52</v>
      </c>
      <c r="I183">
        <v>1.70396250000339</v>
      </c>
      <c r="J183" t="s">
        <v>54</v>
      </c>
      <c r="K183">
        <v>180</v>
      </c>
      <c r="L183">
        <v>0</v>
      </c>
      <c r="M183">
        <v>180</v>
      </c>
      <c r="N183">
        <v>0</v>
      </c>
      <c r="O183">
        <v>377.767300000006</v>
      </c>
      <c r="T183">
        <v>10</v>
      </c>
      <c r="U183">
        <v>377.74737440000098</v>
      </c>
      <c r="V183">
        <v>377.767300000006</v>
      </c>
      <c r="W183">
        <v>377.767300000006</v>
      </c>
      <c r="X183">
        <v>4.7271499992348198E-2</v>
      </c>
      <c r="Y183">
        <v>379.45144870001201</v>
      </c>
      <c r="Z183" t="s">
        <v>550</v>
      </c>
      <c r="AA183" t="s">
        <v>551</v>
      </c>
      <c r="AB183" t="s">
        <v>51</v>
      </c>
      <c r="AC183" t="s">
        <v>52</v>
      </c>
      <c r="AD183" t="s">
        <v>52</v>
      </c>
      <c r="AE183" t="s">
        <v>552</v>
      </c>
      <c r="AF183" t="s">
        <v>54</v>
      </c>
      <c r="AK183" t="s">
        <v>44</v>
      </c>
      <c r="AL183">
        <v>1</v>
      </c>
      <c r="AM183" t="s">
        <v>45</v>
      </c>
      <c r="AN183" t="s">
        <v>46</v>
      </c>
      <c r="AP183" t="s">
        <v>47</v>
      </c>
      <c r="AQ183">
        <v>60.044012257098402</v>
      </c>
      <c r="AR183" t="s">
        <v>48</v>
      </c>
    </row>
    <row r="184" spans="1:44" x14ac:dyDescent="0.35">
      <c r="A184">
        <v>181</v>
      </c>
      <c r="B184">
        <v>0</v>
      </c>
      <c r="C184">
        <v>181</v>
      </c>
      <c r="D184" t="s">
        <v>400</v>
      </c>
      <c r="E184" t="s">
        <v>553</v>
      </c>
      <c r="F184" t="s">
        <v>51</v>
      </c>
      <c r="G184" t="s">
        <v>52</v>
      </c>
      <c r="H184" t="s">
        <v>52</v>
      </c>
      <c r="I184">
        <v>2.0475361999997399</v>
      </c>
      <c r="J184" t="s">
        <v>54</v>
      </c>
      <c r="K184">
        <v>181</v>
      </c>
      <c r="L184">
        <v>0</v>
      </c>
      <c r="M184">
        <v>181</v>
      </c>
      <c r="N184">
        <v>0</v>
      </c>
      <c r="O184">
        <v>379.52427749999299</v>
      </c>
      <c r="T184">
        <v>10</v>
      </c>
      <c r="U184">
        <v>379.50384530000099</v>
      </c>
      <c r="V184">
        <v>379.52427749999299</v>
      </c>
      <c r="W184">
        <v>379.52427749999299</v>
      </c>
      <c r="X184">
        <v>5.21709000167902E-2</v>
      </c>
      <c r="Y184">
        <v>381.55159170000098</v>
      </c>
      <c r="Z184" t="s">
        <v>400</v>
      </c>
      <c r="AA184" t="s">
        <v>553</v>
      </c>
      <c r="AB184" t="s">
        <v>51</v>
      </c>
      <c r="AC184" t="s">
        <v>52</v>
      </c>
      <c r="AD184" t="s">
        <v>52</v>
      </c>
      <c r="AE184" t="s">
        <v>554</v>
      </c>
      <c r="AF184" t="s">
        <v>54</v>
      </c>
      <c r="AK184" t="s">
        <v>44</v>
      </c>
      <c r="AL184">
        <v>1</v>
      </c>
      <c r="AM184" t="s">
        <v>45</v>
      </c>
      <c r="AN184" t="s">
        <v>46</v>
      </c>
      <c r="AP184" t="s">
        <v>47</v>
      </c>
      <c r="AQ184">
        <v>60.044012257098402</v>
      </c>
      <c r="AR184" t="s">
        <v>48</v>
      </c>
    </row>
    <row r="185" spans="1:44" x14ac:dyDescent="0.35">
      <c r="A185">
        <v>182</v>
      </c>
      <c r="B185">
        <v>0</v>
      </c>
      <c r="C185">
        <v>182</v>
      </c>
      <c r="D185" t="s">
        <v>555</v>
      </c>
      <c r="E185" t="s">
        <v>556</v>
      </c>
      <c r="F185" t="s">
        <v>51</v>
      </c>
      <c r="G185" t="s">
        <v>52</v>
      </c>
      <c r="H185" t="s">
        <v>52</v>
      </c>
      <c r="I185">
        <v>2.7538844999798999</v>
      </c>
      <c r="J185" t="s">
        <v>54</v>
      </c>
      <c r="K185">
        <v>182</v>
      </c>
      <c r="L185">
        <v>0</v>
      </c>
      <c r="M185">
        <v>182</v>
      </c>
      <c r="N185">
        <v>0</v>
      </c>
      <c r="O185">
        <v>381.590383500006</v>
      </c>
      <c r="T185">
        <v>5</v>
      </c>
      <c r="U185">
        <v>381.579236599995</v>
      </c>
      <c r="V185">
        <v>381.590383500006</v>
      </c>
      <c r="W185">
        <v>381.590383500006</v>
      </c>
      <c r="X185">
        <v>2.7177300013136101E-2</v>
      </c>
      <c r="Y185">
        <v>384.33327770000301</v>
      </c>
      <c r="Z185" t="s">
        <v>555</v>
      </c>
      <c r="AA185" t="s">
        <v>556</v>
      </c>
      <c r="AB185" t="s">
        <v>51</v>
      </c>
      <c r="AC185" t="s">
        <v>52</v>
      </c>
      <c r="AD185" t="s">
        <v>52</v>
      </c>
      <c r="AE185" t="s">
        <v>557</v>
      </c>
      <c r="AF185" t="s">
        <v>54</v>
      </c>
      <c r="AK185" t="s">
        <v>44</v>
      </c>
      <c r="AL185">
        <v>1</v>
      </c>
      <c r="AM185" t="s">
        <v>45</v>
      </c>
      <c r="AN185" t="s">
        <v>46</v>
      </c>
      <c r="AP185" t="s">
        <v>47</v>
      </c>
      <c r="AQ185">
        <v>60.044012257098402</v>
      </c>
      <c r="AR185" t="s">
        <v>48</v>
      </c>
    </row>
    <row r="186" spans="1:44" x14ac:dyDescent="0.35">
      <c r="A186">
        <v>183</v>
      </c>
      <c r="B186">
        <v>0</v>
      </c>
      <c r="C186">
        <v>183</v>
      </c>
      <c r="D186" t="s">
        <v>558</v>
      </c>
      <c r="E186" t="s">
        <v>559</v>
      </c>
      <c r="F186" t="s">
        <v>51</v>
      </c>
      <c r="G186" t="s">
        <v>52</v>
      </c>
      <c r="H186" t="s">
        <v>52</v>
      </c>
      <c r="I186">
        <v>1.44071530000655</v>
      </c>
      <c r="J186" t="s">
        <v>54</v>
      </c>
      <c r="K186">
        <v>183</v>
      </c>
      <c r="L186">
        <v>0</v>
      </c>
      <c r="M186">
        <v>183</v>
      </c>
      <c r="N186">
        <v>0</v>
      </c>
      <c r="O186">
        <v>384.37573329999498</v>
      </c>
      <c r="T186">
        <v>5</v>
      </c>
      <c r="U186">
        <v>384.36041520000401</v>
      </c>
      <c r="V186">
        <v>384.37573329999498</v>
      </c>
      <c r="W186">
        <v>384.37573329999498</v>
      </c>
      <c r="X186">
        <v>2.6849499990930701E-2</v>
      </c>
      <c r="Y186">
        <v>385.80128139999499</v>
      </c>
      <c r="Z186" t="s">
        <v>558</v>
      </c>
      <c r="AA186" t="s">
        <v>559</v>
      </c>
      <c r="AB186" t="s">
        <v>51</v>
      </c>
      <c r="AC186" t="s">
        <v>52</v>
      </c>
      <c r="AD186" t="s">
        <v>52</v>
      </c>
      <c r="AE186" t="s">
        <v>560</v>
      </c>
      <c r="AF186" t="s">
        <v>54</v>
      </c>
      <c r="AK186" t="s">
        <v>44</v>
      </c>
      <c r="AL186">
        <v>1</v>
      </c>
      <c r="AM186" t="s">
        <v>45</v>
      </c>
      <c r="AN186" t="s">
        <v>46</v>
      </c>
      <c r="AP186" t="s">
        <v>47</v>
      </c>
      <c r="AQ186">
        <v>60.044012257098402</v>
      </c>
      <c r="AR186" t="s">
        <v>48</v>
      </c>
    </row>
    <row r="187" spans="1:44" x14ac:dyDescent="0.35">
      <c r="A187">
        <v>184</v>
      </c>
      <c r="B187">
        <v>0</v>
      </c>
      <c r="C187">
        <v>184</v>
      </c>
      <c r="D187" t="s">
        <v>357</v>
      </c>
      <c r="E187" t="s">
        <v>561</v>
      </c>
      <c r="F187" t="s">
        <v>51</v>
      </c>
      <c r="G187" t="s">
        <v>52</v>
      </c>
      <c r="H187" t="s">
        <v>52</v>
      </c>
      <c r="I187">
        <v>1.6095722999889399</v>
      </c>
      <c r="J187" t="s">
        <v>54</v>
      </c>
      <c r="K187">
        <v>184</v>
      </c>
      <c r="L187">
        <v>0</v>
      </c>
      <c r="M187">
        <v>184</v>
      </c>
      <c r="N187">
        <v>0</v>
      </c>
      <c r="O187">
        <v>385.83709899999599</v>
      </c>
      <c r="T187">
        <v>5</v>
      </c>
      <c r="U187">
        <v>385.82459060000798</v>
      </c>
      <c r="V187">
        <v>385.83709899999599</v>
      </c>
      <c r="W187">
        <v>385.83709899999599</v>
      </c>
      <c r="X187">
        <v>2.3004000016953699E-2</v>
      </c>
      <c r="Y187">
        <v>387.43430719998997</v>
      </c>
      <c r="Z187" t="s">
        <v>357</v>
      </c>
      <c r="AA187" t="s">
        <v>561</v>
      </c>
      <c r="AB187" t="s">
        <v>51</v>
      </c>
      <c r="AC187" t="s">
        <v>52</v>
      </c>
      <c r="AD187" t="s">
        <v>52</v>
      </c>
      <c r="AE187" t="s">
        <v>562</v>
      </c>
      <c r="AF187" t="s">
        <v>54</v>
      </c>
      <c r="AK187" t="s">
        <v>44</v>
      </c>
      <c r="AL187">
        <v>1</v>
      </c>
      <c r="AM187" t="s">
        <v>45</v>
      </c>
      <c r="AN187" t="s">
        <v>46</v>
      </c>
      <c r="AP187" t="s">
        <v>47</v>
      </c>
      <c r="AQ187">
        <v>60.044012257098402</v>
      </c>
      <c r="AR187" t="s">
        <v>48</v>
      </c>
    </row>
    <row r="188" spans="1:44" x14ac:dyDescent="0.35">
      <c r="A188">
        <v>185</v>
      </c>
      <c r="B188">
        <v>0</v>
      </c>
      <c r="C188">
        <v>185</v>
      </c>
      <c r="D188" t="s">
        <v>563</v>
      </c>
      <c r="E188" t="s">
        <v>564</v>
      </c>
      <c r="F188" t="s">
        <v>51</v>
      </c>
      <c r="G188" t="s">
        <v>52</v>
      </c>
      <c r="H188" t="s">
        <v>52</v>
      </c>
      <c r="I188">
        <v>1.45628099999157</v>
      </c>
      <c r="J188" t="s">
        <v>54</v>
      </c>
      <c r="K188">
        <v>185</v>
      </c>
      <c r="L188">
        <v>0</v>
      </c>
      <c r="M188">
        <v>185</v>
      </c>
      <c r="N188">
        <v>0</v>
      </c>
      <c r="O188">
        <v>387.49692100001198</v>
      </c>
      <c r="T188">
        <v>10</v>
      </c>
      <c r="U188">
        <v>387.47775140000101</v>
      </c>
      <c r="V188">
        <v>387.49692100001198</v>
      </c>
      <c r="W188">
        <v>387.49692100001198</v>
      </c>
      <c r="X188">
        <v>4.3233300006249899E-2</v>
      </c>
      <c r="Y188">
        <v>388.93413169999201</v>
      </c>
      <c r="Z188" t="s">
        <v>563</v>
      </c>
      <c r="AA188" t="s">
        <v>564</v>
      </c>
      <c r="AB188" t="s">
        <v>51</v>
      </c>
      <c r="AC188" t="s">
        <v>52</v>
      </c>
      <c r="AD188" t="s">
        <v>52</v>
      </c>
      <c r="AE188" t="s">
        <v>565</v>
      </c>
      <c r="AF188" t="s">
        <v>54</v>
      </c>
      <c r="AK188" t="s">
        <v>44</v>
      </c>
      <c r="AL188">
        <v>1</v>
      </c>
      <c r="AM188" t="s">
        <v>45</v>
      </c>
      <c r="AN188" t="s">
        <v>46</v>
      </c>
      <c r="AP188" t="s">
        <v>47</v>
      </c>
      <c r="AQ188">
        <v>60.044012257098402</v>
      </c>
      <c r="AR188" t="s">
        <v>48</v>
      </c>
    </row>
    <row r="189" spans="1:44" x14ac:dyDescent="0.35">
      <c r="A189">
        <v>186</v>
      </c>
      <c r="B189">
        <v>0</v>
      </c>
      <c r="C189">
        <v>186</v>
      </c>
      <c r="D189" t="s">
        <v>376</v>
      </c>
      <c r="E189" t="s">
        <v>566</v>
      </c>
      <c r="F189" t="s">
        <v>51</v>
      </c>
      <c r="G189" t="s">
        <v>52</v>
      </c>
      <c r="H189" t="s">
        <v>52</v>
      </c>
      <c r="I189">
        <v>2.35021410000626</v>
      </c>
      <c r="J189" t="s">
        <v>54</v>
      </c>
      <c r="K189">
        <v>186</v>
      </c>
      <c r="L189">
        <v>0</v>
      </c>
      <c r="M189">
        <v>186</v>
      </c>
      <c r="N189">
        <v>0</v>
      </c>
      <c r="O189">
        <v>389.00246839999397</v>
      </c>
      <c r="T189">
        <v>10</v>
      </c>
      <c r="U189">
        <v>388.98205720001698</v>
      </c>
      <c r="V189">
        <v>389.00246839999397</v>
      </c>
      <c r="W189">
        <v>389.00246839999397</v>
      </c>
      <c r="X189">
        <v>4.7705700009828399E-2</v>
      </c>
      <c r="Y189">
        <v>391.33238579999301</v>
      </c>
      <c r="Z189" t="s">
        <v>376</v>
      </c>
      <c r="AA189" t="s">
        <v>566</v>
      </c>
      <c r="AB189" t="s">
        <v>51</v>
      </c>
      <c r="AC189" t="s">
        <v>52</v>
      </c>
      <c r="AD189" t="s">
        <v>52</v>
      </c>
      <c r="AE189" t="s">
        <v>567</v>
      </c>
      <c r="AF189" t="s">
        <v>54</v>
      </c>
      <c r="AK189" t="s">
        <v>44</v>
      </c>
      <c r="AL189">
        <v>1</v>
      </c>
      <c r="AM189" t="s">
        <v>45</v>
      </c>
      <c r="AN189" t="s">
        <v>46</v>
      </c>
      <c r="AP189" t="s">
        <v>47</v>
      </c>
      <c r="AQ189">
        <v>60.044012257098402</v>
      </c>
      <c r="AR189" t="s">
        <v>48</v>
      </c>
    </row>
    <row r="190" spans="1:44" x14ac:dyDescent="0.35">
      <c r="A190">
        <v>187</v>
      </c>
      <c r="B190">
        <v>0</v>
      </c>
      <c r="C190">
        <v>187</v>
      </c>
      <c r="D190" t="s">
        <v>568</v>
      </c>
      <c r="E190" t="s">
        <v>569</v>
      </c>
      <c r="F190" t="s">
        <v>51</v>
      </c>
      <c r="G190" t="s">
        <v>52</v>
      </c>
      <c r="H190" t="s">
        <v>52</v>
      </c>
      <c r="I190">
        <v>1.54122610000194</v>
      </c>
      <c r="J190" t="s">
        <v>54</v>
      </c>
      <c r="K190">
        <v>187</v>
      </c>
      <c r="L190">
        <v>0</v>
      </c>
      <c r="M190">
        <v>187</v>
      </c>
      <c r="N190">
        <v>0</v>
      </c>
      <c r="O190">
        <v>391.39535320000101</v>
      </c>
      <c r="T190">
        <v>10</v>
      </c>
      <c r="U190">
        <v>391.376209300011</v>
      </c>
      <c r="V190">
        <v>391.39535320000101</v>
      </c>
      <c r="W190">
        <v>391.39535320000101</v>
      </c>
      <c r="X190">
        <v>4.3589900014922002E-2</v>
      </c>
      <c r="Y190">
        <v>392.91767230001199</v>
      </c>
      <c r="Z190" t="s">
        <v>568</v>
      </c>
      <c r="AA190" t="s">
        <v>569</v>
      </c>
      <c r="AB190" t="s">
        <v>51</v>
      </c>
      <c r="AC190" t="s">
        <v>52</v>
      </c>
      <c r="AD190" t="s">
        <v>52</v>
      </c>
      <c r="AE190" t="s">
        <v>570</v>
      </c>
      <c r="AF190" t="s">
        <v>54</v>
      </c>
      <c r="AK190" t="s">
        <v>44</v>
      </c>
      <c r="AL190">
        <v>1</v>
      </c>
      <c r="AM190" t="s">
        <v>45</v>
      </c>
      <c r="AN190" t="s">
        <v>46</v>
      </c>
      <c r="AP190" t="s">
        <v>47</v>
      </c>
      <c r="AQ190">
        <v>60.044012257098402</v>
      </c>
      <c r="AR190" t="s">
        <v>48</v>
      </c>
    </row>
    <row r="191" spans="1:44" x14ac:dyDescent="0.35">
      <c r="A191">
        <v>188</v>
      </c>
      <c r="B191">
        <v>0</v>
      </c>
      <c r="C191">
        <v>188</v>
      </c>
      <c r="D191" t="s">
        <v>571</v>
      </c>
      <c r="E191" t="s">
        <v>572</v>
      </c>
      <c r="F191" t="s">
        <v>51</v>
      </c>
      <c r="G191" t="s">
        <v>52</v>
      </c>
      <c r="H191" t="s">
        <v>52</v>
      </c>
      <c r="I191">
        <v>3.07260690000839</v>
      </c>
      <c r="J191" t="s">
        <v>54</v>
      </c>
      <c r="K191">
        <v>188</v>
      </c>
      <c r="L191">
        <v>0</v>
      </c>
      <c r="M191">
        <v>188</v>
      </c>
      <c r="N191">
        <v>0</v>
      </c>
      <c r="O191">
        <v>392.97922949999298</v>
      </c>
      <c r="T191">
        <v>10</v>
      </c>
      <c r="U191">
        <v>392.96193869999797</v>
      </c>
      <c r="V191">
        <v>392.97922949999298</v>
      </c>
      <c r="W191">
        <v>392.97922949999298</v>
      </c>
      <c r="X191">
        <v>4.3922800017753602E-2</v>
      </c>
      <c r="Y191">
        <v>396.034690700005</v>
      </c>
      <c r="Z191" t="s">
        <v>571</v>
      </c>
      <c r="AA191" t="s">
        <v>572</v>
      </c>
      <c r="AB191" t="s">
        <v>51</v>
      </c>
      <c r="AC191" t="s">
        <v>52</v>
      </c>
      <c r="AD191" t="s">
        <v>52</v>
      </c>
      <c r="AE191" t="s">
        <v>573</v>
      </c>
      <c r="AF191" t="s">
        <v>54</v>
      </c>
      <c r="AK191" t="s">
        <v>44</v>
      </c>
      <c r="AL191">
        <v>1</v>
      </c>
      <c r="AM191" t="s">
        <v>45</v>
      </c>
      <c r="AN191" t="s">
        <v>46</v>
      </c>
      <c r="AP191" t="s">
        <v>47</v>
      </c>
      <c r="AQ191">
        <v>60.044012257098402</v>
      </c>
      <c r="AR191" t="s">
        <v>48</v>
      </c>
    </row>
    <row r="192" spans="1:44" x14ac:dyDescent="0.35">
      <c r="A192">
        <v>189</v>
      </c>
      <c r="B192">
        <v>0</v>
      </c>
      <c r="C192">
        <v>189</v>
      </c>
      <c r="D192" t="s">
        <v>574</v>
      </c>
      <c r="E192" t="s">
        <v>575</v>
      </c>
      <c r="F192" t="s">
        <v>51</v>
      </c>
      <c r="G192" t="s">
        <v>52</v>
      </c>
      <c r="H192" t="s">
        <v>52</v>
      </c>
      <c r="I192">
        <v>1.5615038000105399</v>
      </c>
      <c r="J192" t="s">
        <v>54</v>
      </c>
      <c r="K192">
        <v>189</v>
      </c>
      <c r="L192">
        <v>0</v>
      </c>
      <c r="M192">
        <v>189</v>
      </c>
      <c r="N192">
        <v>0</v>
      </c>
      <c r="O192">
        <v>396.06932660000098</v>
      </c>
      <c r="T192">
        <v>5</v>
      </c>
      <c r="U192">
        <v>396.057492099993</v>
      </c>
      <c r="V192">
        <v>396.06932660000098</v>
      </c>
      <c r="W192">
        <v>396.06932660000098</v>
      </c>
      <c r="X192">
        <v>2.25464999966789E-2</v>
      </c>
      <c r="Y192">
        <v>397.61915350000999</v>
      </c>
      <c r="Z192" t="s">
        <v>574</v>
      </c>
      <c r="AA192" t="s">
        <v>575</v>
      </c>
      <c r="AB192" t="s">
        <v>51</v>
      </c>
      <c r="AC192" t="s">
        <v>52</v>
      </c>
      <c r="AD192" t="s">
        <v>52</v>
      </c>
      <c r="AE192" t="s">
        <v>576</v>
      </c>
      <c r="AF192" t="s">
        <v>54</v>
      </c>
      <c r="AK192" t="s">
        <v>44</v>
      </c>
      <c r="AL192">
        <v>1</v>
      </c>
      <c r="AM192" t="s">
        <v>45</v>
      </c>
      <c r="AN192" t="s">
        <v>46</v>
      </c>
      <c r="AP192" t="s">
        <v>47</v>
      </c>
      <c r="AQ192">
        <v>60.044012257098402</v>
      </c>
      <c r="AR192" t="s">
        <v>48</v>
      </c>
    </row>
    <row r="193" spans="1:44" x14ac:dyDescent="0.35">
      <c r="A193">
        <v>190</v>
      </c>
      <c r="B193">
        <v>0</v>
      </c>
      <c r="C193">
        <v>190</v>
      </c>
      <c r="D193" t="s">
        <v>577</v>
      </c>
      <c r="E193" t="s">
        <v>578</v>
      </c>
      <c r="F193" t="s">
        <v>51</v>
      </c>
      <c r="G193" t="s">
        <v>52</v>
      </c>
      <c r="H193" t="s">
        <v>52</v>
      </c>
      <c r="I193">
        <v>3.3225055999937401</v>
      </c>
      <c r="J193" t="s">
        <v>54</v>
      </c>
      <c r="K193">
        <v>190</v>
      </c>
      <c r="L193">
        <v>0</v>
      </c>
      <c r="M193">
        <v>190</v>
      </c>
      <c r="N193">
        <v>0</v>
      </c>
      <c r="O193">
        <v>397.65620130000701</v>
      </c>
      <c r="T193">
        <v>5</v>
      </c>
      <c r="U193">
        <v>397.64502490000399</v>
      </c>
      <c r="V193">
        <v>397.65620130000701</v>
      </c>
      <c r="W193">
        <v>397.65620130000701</v>
      </c>
      <c r="X193">
        <v>2.55768000206444E-2</v>
      </c>
      <c r="Y193">
        <v>400.96767050001603</v>
      </c>
      <c r="Z193" t="s">
        <v>577</v>
      </c>
      <c r="AA193" t="s">
        <v>578</v>
      </c>
      <c r="AB193" t="s">
        <v>51</v>
      </c>
      <c r="AC193" t="s">
        <v>52</v>
      </c>
      <c r="AD193" t="s">
        <v>52</v>
      </c>
      <c r="AE193" t="s">
        <v>579</v>
      </c>
      <c r="AF193" t="s">
        <v>54</v>
      </c>
      <c r="AK193" t="s">
        <v>44</v>
      </c>
      <c r="AL193">
        <v>1</v>
      </c>
      <c r="AM193" t="s">
        <v>45</v>
      </c>
      <c r="AN193" t="s">
        <v>46</v>
      </c>
      <c r="AP193" t="s">
        <v>47</v>
      </c>
      <c r="AQ193">
        <v>60.044012257098402</v>
      </c>
      <c r="AR193" t="s">
        <v>48</v>
      </c>
    </row>
    <row r="194" spans="1:44" x14ac:dyDescent="0.35">
      <c r="A194">
        <v>191</v>
      </c>
      <c r="B194">
        <v>0</v>
      </c>
      <c r="C194">
        <v>191</v>
      </c>
      <c r="D194" t="s">
        <v>580</v>
      </c>
      <c r="E194" t="s">
        <v>581</v>
      </c>
      <c r="F194" t="s">
        <v>51</v>
      </c>
      <c r="G194" t="s">
        <v>52</v>
      </c>
      <c r="H194" t="s">
        <v>52</v>
      </c>
      <c r="I194">
        <v>2.2157619000063198</v>
      </c>
      <c r="J194" t="s">
        <v>54</v>
      </c>
      <c r="K194">
        <v>191</v>
      </c>
      <c r="L194">
        <v>0</v>
      </c>
      <c r="M194">
        <v>191</v>
      </c>
      <c r="N194">
        <v>0</v>
      </c>
      <c r="O194">
        <v>401.035149300005</v>
      </c>
      <c r="T194">
        <v>10</v>
      </c>
      <c r="U194">
        <v>401.01621030000302</v>
      </c>
      <c r="V194">
        <v>401.035149300005</v>
      </c>
      <c r="W194">
        <v>401.035149300005</v>
      </c>
      <c r="X194">
        <v>4.8315799998817903E-2</v>
      </c>
      <c r="Y194">
        <v>403.23205779999199</v>
      </c>
      <c r="Z194" t="s">
        <v>580</v>
      </c>
      <c r="AA194" t="s">
        <v>581</v>
      </c>
      <c r="AB194" t="s">
        <v>51</v>
      </c>
      <c r="AC194" t="s">
        <v>52</v>
      </c>
      <c r="AD194" t="s">
        <v>52</v>
      </c>
      <c r="AE194" t="s">
        <v>582</v>
      </c>
      <c r="AF194" t="s">
        <v>54</v>
      </c>
      <c r="AK194" t="s">
        <v>44</v>
      </c>
      <c r="AL194">
        <v>1</v>
      </c>
      <c r="AM194" t="s">
        <v>45</v>
      </c>
      <c r="AN194" t="s">
        <v>46</v>
      </c>
      <c r="AP194" t="s">
        <v>47</v>
      </c>
      <c r="AQ194">
        <v>60.044012257098402</v>
      </c>
      <c r="AR194" t="s">
        <v>48</v>
      </c>
    </row>
    <row r="195" spans="1:44" x14ac:dyDescent="0.35">
      <c r="A195">
        <v>192</v>
      </c>
      <c r="B195">
        <v>0</v>
      </c>
      <c r="C195">
        <v>192</v>
      </c>
      <c r="D195" t="s">
        <v>583</v>
      </c>
      <c r="E195" t="s">
        <v>512</v>
      </c>
      <c r="F195" t="s">
        <v>51</v>
      </c>
      <c r="G195" t="s">
        <v>52</v>
      </c>
      <c r="H195" t="s">
        <v>52</v>
      </c>
      <c r="I195">
        <v>1.6081889999913901</v>
      </c>
      <c r="J195" t="s">
        <v>54</v>
      </c>
      <c r="K195">
        <v>192</v>
      </c>
      <c r="L195">
        <v>0</v>
      </c>
      <c r="M195">
        <v>192</v>
      </c>
      <c r="N195">
        <v>0</v>
      </c>
      <c r="O195">
        <v>403.270005900005</v>
      </c>
      <c r="T195">
        <v>5</v>
      </c>
      <c r="U195">
        <v>403.25706460000902</v>
      </c>
      <c r="V195">
        <v>403.270005900005</v>
      </c>
      <c r="W195">
        <v>403.270005900005</v>
      </c>
      <c r="X195">
        <v>2.48094999988097E-2</v>
      </c>
      <c r="Y195">
        <v>404.86535490001501</v>
      </c>
      <c r="Z195" t="s">
        <v>583</v>
      </c>
      <c r="AA195" t="s">
        <v>512</v>
      </c>
      <c r="AB195" t="s">
        <v>51</v>
      </c>
      <c r="AC195" t="s">
        <v>52</v>
      </c>
      <c r="AD195" t="s">
        <v>52</v>
      </c>
      <c r="AE195" t="s">
        <v>584</v>
      </c>
      <c r="AF195" t="s">
        <v>54</v>
      </c>
      <c r="AK195" t="s">
        <v>44</v>
      </c>
      <c r="AL195">
        <v>1</v>
      </c>
      <c r="AM195" t="s">
        <v>45</v>
      </c>
      <c r="AN195" t="s">
        <v>46</v>
      </c>
      <c r="AP195" t="s">
        <v>47</v>
      </c>
      <c r="AQ195">
        <v>60.044012257098402</v>
      </c>
      <c r="AR195" t="s">
        <v>48</v>
      </c>
    </row>
    <row r="196" spans="1:44" x14ac:dyDescent="0.35">
      <c r="A196">
        <v>193</v>
      </c>
      <c r="B196">
        <v>0</v>
      </c>
      <c r="C196">
        <v>193</v>
      </c>
      <c r="D196" t="s">
        <v>585</v>
      </c>
      <c r="E196" t="s">
        <v>586</v>
      </c>
      <c r="F196" t="s">
        <v>51</v>
      </c>
      <c r="G196" t="s">
        <v>52</v>
      </c>
      <c r="H196" t="s">
        <v>52</v>
      </c>
      <c r="I196">
        <v>2.2578218999842599</v>
      </c>
      <c r="J196" t="s">
        <v>54</v>
      </c>
      <c r="K196">
        <v>193</v>
      </c>
      <c r="L196">
        <v>0</v>
      </c>
      <c r="M196">
        <v>193</v>
      </c>
      <c r="N196">
        <v>0</v>
      </c>
      <c r="O196">
        <v>404.926961299992</v>
      </c>
      <c r="T196">
        <v>10</v>
      </c>
      <c r="U196">
        <v>404.909235600003</v>
      </c>
      <c r="V196">
        <v>404.926961299992</v>
      </c>
      <c r="W196">
        <v>404.926961299992</v>
      </c>
      <c r="X196">
        <v>4.3681500013917601E-2</v>
      </c>
      <c r="Y196">
        <v>407.16719529998898</v>
      </c>
      <c r="Z196" t="s">
        <v>585</v>
      </c>
      <c r="AA196" t="s">
        <v>586</v>
      </c>
      <c r="AB196" t="s">
        <v>51</v>
      </c>
      <c r="AC196" t="s">
        <v>52</v>
      </c>
      <c r="AD196" t="s">
        <v>52</v>
      </c>
      <c r="AE196" t="s">
        <v>587</v>
      </c>
      <c r="AF196" t="s">
        <v>54</v>
      </c>
      <c r="AK196" t="s">
        <v>44</v>
      </c>
      <c r="AL196">
        <v>1</v>
      </c>
      <c r="AM196" t="s">
        <v>45</v>
      </c>
      <c r="AN196" t="s">
        <v>46</v>
      </c>
      <c r="AP196" t="s">
        <v>47</v>
      </c>
      <c r="AQ196">
        <v>60.044012257098402</v>
      </c>
      <c r="AR196" t="s">
        <v>48</v>
      </c>
    </row>
    <row r="197" spans="1:44" x14ac:dyDescent="0.35">
      <c r="A197">
        <v>194</v>
      </c>
      <c r="B197">
        <v>0</v>
      </c>
      <c r="C197">
        <v>194</v>
      </c>
      <c r="D197" t="s">
        <v>444</v>
      </c>
      <c r="E197" t="s">
        <v>588</v>
      </c>
      <c r="F197" t="s">
        <v>51</v>
      </c>
      <c r="G197" t="s">
        <v>52</v>
      </c>
      <c r="H197" t="s">
        <v>52</v>
      </c>
      <c r="I197">
        <v>2.1220442999910998</v>
      </c>
      <c r="J197" t="s">
        <v>54</v>
      </c>
      <c r="K197">
        <v>194</v>
      </c>
      <c r="L197">
        <v>0</v>
      </c>
      <c r="M197">
        <v>194</v>
      </c>
      <c r="N197">
        <v>0</v>
      </c>
      <c r="O197">
        <v>407.23115609999502</v>
      </c>
      <c r="T197">
        <v>10</v>
      </c>
      <c r="U197">
        <v>407.21209929999799</v>
      </c>
      <c r="V197">
        <v>407.23115609999502</v>
      </c>
      <c r="W197">
        <v>407.23115609999502</v>
      </c>
      <c r="X197">
        <v>4.45961000223178E-2</v>
      </c>
      <c r="Y197">
        <v>409.33429729999602</v>
      </c>
      <c r="Z197" t="s">
        <v>444</v>
      </c>
      <c r="AA197" t="s">
        <v>588</v>
      </c>
      <c r="AB197" t="s">
        <v>51</v>
      </c>
      <c r="AC197" t="s">
        <v>52</v>
      </c>
      <c r="AD197" t="s">
        <v>52</v>
      </c>
      <c r="AE197" t="s">
        <v>589</v>
      </c>
      <c r="AF197" t="s">
        <v>54</v>
      </c>
      <c r="AK197" t="s">
        <v>44</v>
      </c>
      <c r="AL197">
        <v>1</v>
      </c>
      <c r="AM197" t="s">
        <v>45</v>
      </c>
      <c r="AN197" t="s">
        <v>46</v>
      </c>
      <c r="AP197" t="s">
        <v>47</v>
      </c>
      <c r="AQ197">
        <v>60.044012257098402</v>
      </c>
      <c r="AR197" t="s">
        <v>48</v>
      </c>
    </row>
    <row r="198" spans="1:44" x14ac:dyDescent="0.35">
      <c r="A198">
        <v>195</v>
      </c>
      <c r="B198">
        <v>0</v>
      </c>
      <c r="C198">
        <v>195</v>
      </c>
      <c r="D198" t="s">
        <v>590</v>
      </c>
      <c r="E198" t="s">
        <v>384</v>
      </c>
      <c r="F198" t="s">
        <v>51</v>
      </c>
      <c r="G198" t="s">
        <v>52</v>
      </c>
      <c r="H198" t="s">
        <v>52</v>
      </c>
      <c r="I198">
        <v>1.6579427999968099</v>
      </c>
      <c r="J198" t="s">
        <v>54</v>
      </c>
      <c r="K198">
        <v>195</v>
      </c>
      <c r="L198">
        <v>0</v>
      </c>
      <c r="M198">
        <v>195</v>
      </c>
      <c r="N198">
        <v>0</v>
      </c>
      <c r="O198">
        <v>409.37177230001498</v>
      </c>
      <c r="T198">
        <v>5</v>
      </c>
      <c r="U198">
        <v>409.35998830001301</v>
      </c>
      <c r="V198">
        <v>409.37177230001498</v>
      </c>
      <c r="W198">
        <v>409.37177230001498</v>
      </c>
      <c r="X198">
        <v>2.5425100000575102E-2</v>
      </c>
      <c r="Y198">
        <v>411.01809379999702</v>
      </c>
      <c r="Z198" t="s">
        <v>590</v>
      </c>
      <c r="AA198" t="s">
        <v>384</v>
      </c>
      <c r="AB198" t="s">
        <v>51</v>
      </c>
      <c r="AC198" t="s">
        <v>52</v>
      </c>
      <c r="AD198" t="s">
        <v>52</v>
      </c>
      <c r="AE198" t="s">
        <v>591</v>
      </c>
      <c r="AF198" t="s">
        <v>54</v>
      </c>
      <c r="AK198" t="s">
        <v>44</v>
      </c>
      <c r="AL198">
        <v>1</v>
      </c>
      <c r="AM198" t="s">
        <v>45</v>
      </c>
      <c r="AN198" t="s">
        <v>46</v>
      </c>
      <c r="AP198" t="s">
        <v>47</v>
      </c>
      <c r="AQ198">
        <v>60.044012257098402</v>
      </c>
      <c r="AR198" t="s">
        <v>48</v>
      </c>
    </row>
    <row r="199" spans="1:44" x14ac:dyDescent="0.35">
      <c r="A199">
        <v>196</v>
      </c>
      <c r="B199">
        <v>0</v>
      </c>
      <c r="C199">
        <v>196</v>
      </c>
      <c r="D199" t="s">
        <v>592</v>
      </c>
      <c r="E199" t="s">
        <v>593</v>
      </c>
      <c r="F199" t="s">
        <v>51</v>
      </c>
      <c r="G199" t="s">
        <v>52</v>
      </c>
      <c r="H199" t="s">
        <v>52</v>
      </c>
      <c r="I199">
        <v>1.5379015000071301</v>
      </c>
      <c r="J199" t="s">
        <v>54</v>
      </c>
      <c r="K199">
        <v>196</v>
      </c>
      <c r="L199">
        <v>0</v>
      </c>
      <c r="M199">
        <v>196</v>
      </c>
      <c r="N199">
        <v>0</v>
      </c>
      <c r="O199">
        <v>411.05685260001297</v>
      </c>
      <c r="T199">
        <v>5</v>
      </c>
      <c r="U199">
        <v>411.04600689999597</v>
      </c>
      <c r="V199">
        <v>411.05685260001297</v>
      </c>
      <c r="W199">
        <v>411.05685260001297</v>
      </c>
      <c r="X199">
        <v>2.7685799985192699E-2</v>
      </c>
      <c r="Y199">
        <v>412.584058200009</v>
      </c>
      <c r="Z199" t="s">
        <v>592</v>
      </c>
      <c r="AA199" t="s">
        <v>593</v>
      </c>
      <c r="AB199" t="s">
        <v>51</v>
      </c>
      <c r="AC199" t="s">
        <v>52</v>
      </c>
      <c r="AD199" t="s">
        <v>52</v>
      </c>
      <c r="AE199" t="s">
        <v>594</v>
      </c>
      <c r="AF199" t="s">
        <v>54</v>
      </c>
      <c r="AK199" t="s">
        <v>44</v>
      </c>
      <c r="AL199">
        <v>1</v>
      </c>
      <c r="AM199" t="s">
        <v>45</v>
      </c>
      <c r="AN199" t="s">
        <v>46</v>
      </c>
      <c r="AP199" t="s">
        <v>47</v>
      </c>
      <c r="AQ199">
        <v>60.044012257098402</v>
      </c>
      <c r="AR199" t="s">
        <v>48</v>
      </c>
    </row>
    <row r="200" spans="1:44" x14ac:dyDescent="0.35">
      <c r="A200">
        <v>197</v>
      </c>
      <c r="B200">
        <v>0</v>
      </c>
      <c r="C200">
        <v>197</v>
      </c>
      <c r="D200" t="s">
        <v>595</v>
      </c>
      <c r="E200" t="s">
        <v>596</v>
      </c>
      <c r="F200" t="s">
        <v>51</v>
      </c>
      <c r="G200" t="s">
        <v>52</v>
      </c>
      <c r="H200" t="s">
        <v>52</v>
      </c>
      <c r="I200">
        <v>1.65887920002569</v>
      </c>
      <c r="J200" t="s">
        <v>54</v>
      </c>
      <c r="K200">
        <v>197</v>
      </c>
      <c r="L200">
        <v>0</v>
      </c>
      <c r="M200">
        <v>197</v>
      </c>
      <c r="N200">
        <v>0</v>
      </c>
      <c r="O200">
        <v>412.62084670001002</v>
      </c>
      <c r="T200">
        <v>5</v>
      </c>
      <c r="U200">
        <v>412.60822620001198</v>
      </c>
      <c r="V200">
        <v>412.62084670001002</v>
      </c>
      <c r="W200">
        <v>412.62084670001002</v>
      </c>
      <c r="X200">
        <v>2.38562999875284E-2</v>
      </c>
      <c r="Y200">
        <v>414.26725060000899</v>
      </c>
      <c r="Z200" t="s">
        <v>595</v>
      </c>
      <c r="AA200" t="s">
        <v>596</v>
      </c>
      <c r="AB200" t="s">
        <v>51</v>
      </c>
      <c r="AC200" t="s">
        <v>52</v>
      </c>
      <c r="AD200" t="s">
        <v>52</v>
      </c>
      <c r="AE200" t="s">
        <v>597</v>
      </c>
      <c r="AF200" t="s">
        <v>54</v>
      </c>
      <c r="AK200" t="s">
        <v>44</v>
      </c>
      <c r="AL200">
        <v>1</v>
      </c>
      <c r="AM200" t="s">
        <v>45</v>
      </c>
      <c r="AN200" t="s">
        <v>46</v>
      </c>
      <c r="AP200" t="s">
        <v>47</v>
      </c>
      <c r="AQ200">
        <v>60.044012257098402</v>
      </c>
      <c r="AR200" t="s">
        <v>48</v>
      </c>
    </row>
    <row r="201" spans="1:44" x14ac:dyDescent="0.35">
      <c r="A201">
        <v>198</v>
      </c>
      <c r="B201">
        <v>0</v>
      </c>
      <c r="C201">
        <v>198</v>
      </c>
      <c r="D201" t="s">
        <v>598</v>
      </c>
      <c r="E201" t="s">
        <v>599</v>
      </c>
      <c r="F201" t="s">
        <v>51</v>
      </c>
      <c r="G201" t="s">
        <v>52</v>
      </c>
      <c r="H201" t="s">
        <v>52</v>
      </c>
      <c r="I201">
        <v>1.70986980001907</v>
      </c>
      <c r="J201" t="s">
        <v>54</v>
      </c>
      <c r="K201">
        <v>198</v>
      </c>
      <c r="L201">
        <v>0</v>
      </c>
      <c r="M201">
        <v>198</v>
      </c>
      <c r="N201">
        <v>0</v>
      </c>
      <c r="O201">
        <v>414.30133230000501</v>
      </c>
      <c r="T201">
        <v>5</v>
      </c>
      <c r="U201">
        <v>414.28987149999</v>
      </c>
      <c r="V201">
        <v>414.30133230000501</v>
      </c>
      <c r="W201">
        <v>414.30133230000501</v>
      </c>
      <c r="X201">
        <v>2.2410100005799901E-2</v>
      </c>
      <c r="Y201">
        <v>415.999901100003</v>
      </c>
      <c r="Z201" t="s">
        <v>598</v>
      </c>
      <c r="AA201" t="s">
        <v>599</v>
      </c>
      <c r="AB201" t="s">
        <v>51</v>
      </c>
      <c r="AC201" t="s">
        <v>52</v>
      </c>
      <c r="AD201" t="s">
        <v>52</v>
      </c>
      <c r="AE201" t="s">
        <v>600</v>
      </c>
      <c r="AF201" t="s">
        <v>54</v>
      </c>
      <c r="AK201" t="s">
        <v>44</v>
      </c>
      <c r="AL201">
        <v>1</v>
      </c>
      <c r="AM201" t="s">
        <v>45</v>
      </c>
      <c r="AN201" t="s">
        <v>46</v>
      </c>
      <c r="AP201" t="s">
        <v>47</v>
      </c>
      <c r="AQ201">
        <v>60.044012257098402</v>
      </c>
      <c r="AR201" t="s">
        <v>48</v>
      </c>
    </row>
    <row r="202" spans="1:44" x14ac:dyDescent="0.35">
      <c r="A202">
        <v>199</v>
      </c>
      <c r="B202">
        <v>0</v>
      </c>
      <c r="C202">
        <v>199</v>
      </c>
      <c r="D202" t="s">
        <v>601</v>
      </c>
      <c r="E202" t="s">
        <v>602</v>
      </c>
      <c r="F202" t="s">
        <v>51</v>
      </c>
      <c r="G202" t="s">
        <v>52</v>
      </c>
      <c r="H202" t="s">
        <v>52</v>
      </c>
      <c r="I202">
        <v>1.32651370001258</v>
      </c>
      <c r="J202" t="s">
        <v>54</v>
      </c>
      <c r="K202">
        <v>199</v>
      </c>
      <c r="L202">
        <v>0</v>
      </c>
      <c r="M202">
        <v>199</v>
      </c>
      <c r="N202">
        <v>0</v>
      </c>
      <c r="O202">
        <v>416.08200890000398</v>
      </c>
      <c r="T202">
        <v>10</v>
      </c>
      <c r="U202">
        <v>416.05730169999799</v>
      </c>
      <c r="V202">
        <v>416.08200890000398</v>
      </c>
      <c r="W202">
        <v>416.08200890000398</v>
      </c>
      <c r="X202">
        <v>5.7122600002912798E-2</v>
      </c>
      <c r="Y202">
        <v>417.383959400001</v>
      </c>
      <c r="Z202" t="s">
        <v>601</v>
      </c>
      <c r="AA202" t="s">
        <v>602</v>
      </c>
      <c r="AB202" t="s">
        <v>51</v>
      </c>
      <c r="AC202" t="s">
        <v>52</v>
      </c>
      <c r="AD202" t="s">
        <v>52</v>
      </c>
      <c r="AE202" t="s">
        <v>603</v>
      </c>
      <c r="AF202" t="s">
        <v>54</v>
      </c>
      <c r="AK202" t="s">
        <v>44</v>
      </c>
      <c r="AL202">
        <v>1</v>
      </c>
      <c r="AM202" t="s">
        <v>45</v>
      </c>
      <c r="AN202" t="s">
        <v>46</v>
      </c>
      <c r="AP202" t="s">
        <v>47</v>
      </c>
      <c r="AQ202">
        <v>60.044012257098402</v>
      </c>
      <c r="AR202" t="s">
        <v>48</v>
      </c>
    </row>
    <row r="203" spans="1:44" x14ac:dyDescent="0.35">
      <c r="AG203">
        <v>417.38451279999498</v>
      </c>
      <c r="AH203">
        <v>417.39679389999901</v>
      </c>
      <c r="AI203">
        <v>418.39723870001001</v>
      </c>
      <c r="AJ203">
        <v>418.38153549999601</v>
      </c>
      <c r="AK203" t="s">
        <v>44</v>
      </c>
      <c r="AL203">
        <v>1</v>
      </c>
      <c r="AM203" t="s">
        <v>45</v>
      </c>
      <c r="AN203" t="s">
        <v>46</v>
      </c>
      <c r="AP203" t="s">
        <v>47</v>
      </c>
      <c r="AQ203">
        <v>60.044012257098402</v>
      </c>
      <c r="AR203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2AF3F-CC16-4FE0-86E8-1D0036DD546B}">
  <dimension ref="A1:M202"/>
  <sheetViews>
    <sheetView tabSelected="1" topLeftCell="F103" zoomScale="86" workbookViewId="0">
      <selection activeCell="N116" sqref="N116"/>
    </sheetView>
  </sheetViews>
  <sheetFormatPr defaultRowHeight="14.5" x14ac:dyDescent="0.35"/>
  <cols>
    <col min="1" max="2" width="23.26953125" customWidth="1"/>
    <col min="3" max="3" width="15.26953125" customWidth="1"/>
    <col min="11" max="11" width="10.81640625" bestFit="1" customWidth="1"/>
    <col min="12" max="12" width="12.453125" bestFit="1" customWidth="1"/>
  </cols>
  <sheetData>
    <row r="1" spans="1:9" x14ac:dyDescent="0.35">
      <c r="A1" t="s">
        <v>8</v>
      </c>
      <c r="B1" t="s">
        <v>9</v>
      </c>
      <c r="C1" t="s">
        <v>19</v>
      </c>
      <c r="G1" t="s">
        <v>8</v>
      </c>
      <c r="H1" t="s">
        <v>9</v>
      </c>
      <c r="I1" t="s">
        <v>19</v>
      </c>
    </row>
    <row r="3" spans="1:9" x14ac:dyDescent="0.35">
      <c r="A3">
        <v>1.8920721000176799</v>
      </c>
      <c r="B3" t="s">
        <v>54</v>
      </c>
      <c r="C3">
        <v>5</v>
      </c>
      <c r="G3">
        <v>1.8920721000176799</v>
      </c>
      <c r="H3" t="s">
        <v>54</v>
      </c>
      <c r="I3">
        <v>5</v>
      </c>
    </row>
    <row r="4" spans="1:9" x14ac:dyDescent="0.35">
      <c r="A4">
        <v>1.8875857999955701</v>
      </c>
      <c r="B4" t="s">
        <v>54</v>
      </c>
      <c r="C4">
        <v>5</v>
      </c>
      <c r="G4">
        <v>1.8875857999955701</v>
      </c>
      <c r="H4" t="s">
        <v>54</v>
      </c>
      <c r="I4">
        <v>5</v>
      </c>
    </row>
    <row r="5" spans="1:9" x14ac:dyDescent="0.35">
      <c r="A5">
        <v>2.2055470999912301</v>
      </c>
      <c r="B5" t="s">
        <v>54</v>
      </c>
      <c r="C5">
        <v>5</v>
      </c>
      <c r="G5">
        <v>2.2055470999912301</v>
      </c>
      <c r="H5" t="s">
        <v>54</v>
      </c>
      <c r="I5">
        <v>5</v>
      </c>
    </row>
    <row r="6" spans="1:9" x14ac:dyDescent="0.35">
      <c r="A6">
        <v>2.3358197000052301</v>
      </c>
      <c r="B6" t="s">
        <v>54</v>
      </c>
      <c r="C6">
        <v>5</v>
      </c>
      <c r="G6">
        <v>2.3358197000052301</v>
      </c>
      <c r="H6" t="s">
        <v>54</v>
      </c>
      <c r="I6">
        <v>5</v>
      </c>
    </row>
    <row r="7" spans="1:9" x14ac:dyDescent="0.35">
      <c r="A7">
        <v>1.5260482000012401</v>
      </c>
      <c r="B7" t="s">
        <v>54</v>
      </c>
      <c r="C7">
        <v>5</v>
      </c>
      <c r="G7">
        <v>1.5260482000012401</v>
      </c>
      <c r="H7" t="s">
        <v>54</v>
      </c>
      <c r="I7">
        <v>5</v>
      </c>
    </row>
    <row r="8" spans="1:9" x14ac:dyDescent="0.35">
      <c r="A8">
        <v>1.52385060000233</v>
      </c>
      <c r="B8" t="s">
        <v>54</v>
      </c>
      <c r="C8">
        <v>5</v>
      </c>
      <c r="G8">
        <v>1.52385060000233</v>
      </c>
      <c r="H8" t="s">
        <v>54</v>
      </c>
      <c r="I8">
        <v>5</v>
      </c>
    </row>
    <row r="9" spans="1:9" x14ac:dyDescent="0.35">
      <c r="A9">
        <v>2.49605459999293</v>
      </c>
      <c r="B9" t="s">
        <v>54</v>
      </c>
      <c r="C9">
        <v>5</v>
      </c>
      <c r="G9">
        <v>2.49605459999293</v>
      </c>
      <c r="H9" t="s">
        <v>54</v>
      </c>
      <c r="I9">
        <v>5</v>
      </c>
    </row>
    <row r="10" spans="1:9" x14ac:dyDescent="0.35">
      <c r="A10">
        <v>1.9570567999908199</v>
      </c>
      <c r="B10" t="s">
        <v>54</v>
      </c>
      <c r="C10">
        <v>5</v>
      </c>
      <c r="G10">
        <v>1.9570567999908199</v>
      </c>
      <c r="H10" t="s">
        <v>54</v>
      </c>
      <c r="I10">
        <v>5</v>
      </c>
    </row>
    <row r="11" spans="1:9" x14ac:dyDescent="0.35">
      <c r="A11">
        <v>1.7925442999985499</v>
      </c>
      <c r="B11" t="s">
        <v>54</v>
      </c>
      <c r="C11">
        <v>5</v>
      </c>
      <c r="G11">
        <v>1.7925442999985499</v>
      </c>
      <c r="H11" t="s">
        <v>54</v>
      </c>
      <c r="I11">
        <v>5</v>
      </c>
    </row>
    <row r="12" spans="1:9" x14ac:dyDescent="0.35">
      <c r="A12">
        <v>1.9419025999959501</v>
      </c>
      <c r="B12" t="s">
        <v>54</v>
      </c>
      <c r="C12">
        <v>5</v>
      </c>
      <c r="G12">
        <v>1.9419025999959501</v>
      </c>
      <c r="H12" t="s">
        <v>54</v>
      </c>
      <c r="I12">
        <v>5</v>
      </c>
    </row>
    <row r="13" spans="1:9" x14ac:dyDescent="0.35">
      <c r="A13">
        <v>1.46122789999935</v>
      </c>
      <c r="B13" t="s">
        <v>54</v>
      </c>
      <c r="C13">
        <v>5</v>
      </c>
      <c r="G13">
        <v>1.46122789999935</v>
      </c>
      <c r="H13" t="s">
        <v>54</v>
      </c>
      <c r="I13">
        <v>5</v>
      </c>
    </row>
    <row r="14" spans="1:9" x14ac:dyDescent="0.35">
      <c r="A14">
        <v>1.6049286999914301</v>
      </c>
      <c r="B14" t="s">
        <v>54</v>
      </c>
      <c r="C14">
        <v>5</v>
      </c>
      <c r="G14">
        <v>1.6049286999914301</v>
      </c>
      <c r="H14" t="s">
        <v>54</v>
      </c>
      <c r="I14">
        <v>5</v>
      </c>
    </row>
    <row r="15" spans="1:9" x14ac:dyDescent="0.35">
      <c r="A15">
        <v>1.89205460000084</v>
      </c>
      <c r="B15" t="s">
        <v>54</v>
      </c>
      <c r="C15">
        <v>5</v>
      </c>
      <c r="G15">
        <v>1.89205460000084</v>
      </c>
      <c r="H15" t="s">
        <v>54</v>
      </c>
      <c r="I15">
        <v>5</v>
      </c>
    </row>
    <row r="16" spans="1:9" x14ac:dyDescent="0.35">
      <c r="A16">
        <v>1.9563311000238099</v>
      </c>
      <c r="B16" t="s">
        <v>54</v>
      </c>
      <c r="C16">
        <v>5</v>
      </c>
      <c r="G16">
        <v>1.9563311000238099</v>
      </c>
      <c r="H16" t="s">
        <v>54</v>
      </c>
      <c r="I16">
        <v>5</v>
      </c>
    </row>
    <row r="17" spans="1:9" x14ac:dyDescent="0.35">
      <c r="A17">
        <v>2.10722579999128</v>
      </c>
      <c r="B17" t="s">
        <v>54</v>
      </c>
      <c r="C17">
        <v>5</v>
      </c>
      <c r="G17">
        <v>2.10722579999128</v>
      </c>
      <c r="H17" t="s">
        <v>54</v>
      </c>
      <c r="I17">
        <v>5</v>
      </c>
    </row>
    <row r="18" spans="1:9" x14ac:dyDescent="0.35">
      <c r="A18">
        <v>2.1926026000001002</v>
      </c>
      <c r="B18" t="s">
        <v>54</v>
      </c>
      <c r="C18">
        <v>5</v>
      </c>
      <c r="G18">
        <v>2.1926026000001002</v>
      </c>
      <c r="H18" t="s">
        <v>54</v>
      </c>
      <c r="I18">
        <v>5</v>
      </c>
    </row>
    <row r="19" spans="1:9" x14ac:dyDescent="0.35">
      <c r="A19">
        <v>2.59366879999288</v>
      </c>
      <c r="B19" t="s">
        <v>54</v>
      </c>
      <c r="C19">
        <v>5</v>
      </c>
      <c r="G19">
        <v>2.59366879999288</v>
      </c>
      <c r="H19" t="s">
        <v>54</v>
      </c>
      <c r="I19">
        <v>5</v>
      </c>
    </row>
    <row r="20" spans="1:9" x14ac:dyDescent="0.35">
      <c r="A20">
        <v>1.44301049999194</v>
      </c>
      <c r="B20" t="s">
        <v>54</v>
      </c>
      <c r="C20">
        <v>5</v>
      </c>
      <c r="G20">
        <v>1.44301049999194</v>
      </c>
      <c r="H20" t="s">
        <v>54</v>
      </c>
      <c r="I20">
        <v>5</v>
      </c>
    </row>
    <row r="21" spans="1:9" x14ac:dyDescent="0.35">
      <c r="A21">
        <v>1.5086230000015299</v>
      </c>
      <c r="B21" t="s">
        <v>54</v>
      </c>
      <c r="C21">
        <v>5</v>
      </c>
      <c r="G21">
        <v>1.5086230000015299</v>
      </c>
      <c r="H21" t="s">
        <v>54</v>
      </c>
      <c r="I21">
        <v>5</v>
      </c>
    </row>
    <row r="22" spans="1:9" x14ac:dyDescent="0.35">
      <c r="A22">
        <v>2.0546909999975398</v>
      </c>
      <c r="B22" t="s">
        <v>54</v>
      </c>
      <c r="C22">
        <v>5</v>
      </c>
      <c r="G22">
        <v>2.0546909999975398</v>
      </c>
      <c r="H22" t="s">
        <v>54</v>
      </c>
      <c r="I22">
        <v>5</v>
      </c>
    </row>
    <row r="23" spans="1:9" x14ac:dyDescent="0.35">
      <c r="A23">
        <v>1.5209204000129799</v>
      </c>
      <c r="B23" t="s">
        <v>54</v>
      </c>
      <c r="C23">
        <v>5</v>
      </c>
      <c r="G23">
        <v>1.5209204000129799</v>
      </c>
      <c r="H23" t="s">
        <v>54</v>
      </c>
      <c r="I23">
        <v>5</v>
      </c>
    </row>
    <row r="24" spans="1:9" x14ac:dyDescent="0.35">
      <c r="A24">
        <v>1.63814730002195</v>
      </c>
      <c r="B24" t="s">
        <v>54</v>
      </c>
      <c r="C24">
        <v>5</v>
      </c>
      <c r="G24">
        <v>1.63814730002195</v>
      </c>
      <c r="H24" t="s">
        <v>54</v>
      </c>
      <c r="I24">
        <v>5</v>
      </c>
    </row>
    <row r="25" spans="1:9" x14ac:dyDescent="0.35">
      <c r="A25">
        <v>2.7927378000167602</v>
      </c>
      <c r="B25" t="s">
        <v>54</v>
      </c>
      <c r="C25">
        <v>5</v>
      </c>
      <c r="G25">
        <v>2.7927378000167602</v>
      </c>
      <c r="H25" t="s">
        <v>54</v>
      </c>
      <c r="I25">
        <v>5</v>
      </c>
    </row>
    <row r="26" spans="1:9" x14ac:dyDescent="0.35">
      <c r="A26">
        <v>1.8911665000196001</v>
      </c>
      <c r="B26" t="s">
        <v>54</v>
      </c>
      <c r="C26">
        <v>5</v>
      </c>
      <c r="G26">
        <v>1.8911665000196001</v>
      </c>
      <c r="H26" t="s">
        <v>54</v>
      </c>
      <c r="I26">
        <v>5</v>
      </c>
    </row>
    <row r="27" spans="1:9" x14ac:dyDescent="0.35">
      <c r="A27">
        <v>1.84312939998926</v>
      </c>
      <c r="B27" t="s">
        <v>54</v>
      </c>
      <c r="C27">
        <v>5</v>
      </c>
      <c r="G27">
        <v>1.84312939998926</v>
      </c>
      <c r="H27" t="s">
        <v>54</v>
      </c>
      <c r="I27">
        <v>5</v>
      </c>
    </row>
    <row r="28" spans="1:9" x14ac:dyDescent="0.35">
      <c r="A28">
        <v>2.5385352000012</v>
      </c>
      <c r="B28" t="s">
        <v>54</v>
      </c>
      <c r="C28">
        <v>5</v>
      </c>
      <c r="G28">
        <v>2.5385352000012</v>
      </c>
      <c r="H28" t="s">
        <v>54</v>
      </c>
      <c r="I28">
        <v>5</v>
      </c>
    </row>
    <row r="29" spans="1:9" x14ac:dyDescent="0.35">
      <c r="A29">
        <v>2.0236561000056099</v>
      </c>
      <c r="B29" t="s">
        <v>54</v>
      </c>
      <c r="C29">
        <v>5</v>
      </c>
      <c r="G29">
        <v>2.0236561000056099</v>
      </c>
      <c r="H29" t="s">
        <v>54</v>
      </c>
      <c r="I29">
        <v>5</v>
      </c>
    </row>
    <row r="30" spans="1:9" x14ac:dyDescent="0.35">
      <c r="A30">
        <v>2.86633369998889</v>
      </c>
      <c r="B30" t="s">
        <v>54</v>
      </c>
      <c r="C30">
        <v>5</v>
      </c>
      <c r="G30">
        <v>2.86633369998889</v>
      </c>
      <c r="H30" t="s">
        <v>54</v>
      </c>
      <c r="I30">
        <v>5</v>
      </c>
    </row>
    <row r="31" spans="1:9" x14ac:dyDescent="0.35">
      <c r="A31">
        <v>1.9231339000107199</v>
      </c>
      <c r="B31" t="s">
        <v>54</v>
      </c>
      <c r="C31">
        <v>5</v>
      </c>
      <c r="G31">
        <v>1.9231339000107199</v>
      </c>
      <c r="H31" t="s">
        <v>54</v>
      </c>
      <c r="I31">
        <v>5</v>
      </c>
    </row>
    <row r="32" spans="1:9" x14ac:dyDescent="0.35">
      <c r="A32">
        <v>1.7089878999977299</v>
      </c>
      <c r="B32" t="s">
        <v>54</v>
      </c>
      <c r="C32">
        <v>5</v>
      </c>
      <c r="G32">
        <v>1.7089878999977299</v>
      </c>
      <c r="H32" t="s">
        <v>54</v>
      </c>
      <c r="I32">
        <v>5</v>
      </c>
    </row>
    <row r="33" spans="1:9" x14ac:dyDescent="0.35">
      <c r="A33">
        <v>1.58822820000932</v>
      </c>
      <c r="B33" t="s">
        <v>54</v>
      </c>
      <c r="C33">
        <v>5</v>
      </c>
      <c r="G33">
        <v>1.58822820000932</v>
      </c>
      <c r="H33" t="s">
        <v>54</v>
      </c>
      <c r="I33">
        <v>5</v>
      </c>
    </row>
    <row r="34" spans="1:9" x14ac:dyDescent="0.35">
      <c r="A34">
        <v>1.3551364000013499</v>
      </c>
      <c r="B34" t="s">
        <v>54</v>
      </c>
      <c r="C34">
        <v>5</v>
      </c>
      <c r="G34">
        <v>1.3551364000013499</v>
      </c>
      <c r="H34" t="s">
        <v>54</v>
      </c>
      <c r="I34">
        <v>5</v>
      </c>
    </row>
    <row r="35" spans="1:9" x14ac:dyDescent="0.35">
      <c r="A35">
        <v>2.4754514999803998</v>
      </c>
      <c r="B35" t="s">
        <v>54</v>
      </c>
      <c r="C35">
        <v>5</v>
      </c>
      <c r="G35">
        <v>2.4754514999803998</v>
      </c>
      <c r="H35" t="s">
        <v>54</v>
      </c>
      <c r="I35">
        <v>5</v>
      </c>
    </row>
    <row r="36" spans="1:9" x14ac:dyDescent="0.35">
      <c r="A36">
        <v>1.6552117000101101</v>
      </c>
      <c r="B36" t="s">
        <v>54</v>
      </c>
      <c r="C36">
        <v>5</v>
      </c>
      <c r="G36">
        <v>1.6552117000101101</v>
      </c>
      <c r="H36" t="s">
        <v>54</v>
      </c>
      <c r="I36">
        <v>5</v>
      </c>
    </row>
    <row r="37" spans="1:9" x14ac:dyDescent="0.35">
      <c r="A37">
        <v>2.2397191000054502</v>
      </c>
      <c r="B37" t="s">
        <v>54</v>
      </c>
      <c r="C37">
        <v>5</v>
      </c>
      <c r="G37">
        <v>2.2397191000054502</v>
      </c>
      <c r="H37" t="s">
        <v>54</v>
      </c>
      <c r="I37">
        <v>5</v>
      </c>
    </row>
    <row r="38" spans="1:9" x14ac:dyDescent="0.35">
      <c r="A38">
        <v>2.1017390000051801</v>
      </c>
      <c r="B38" t="s">
        <v>54</v>
      </c>
      <c r="C38">
        <v>5</v>
      </c>
      <c r="G38">
        <v>2.1017390000051801</v>
      </c>
      <c r="H38" t="s">
        <v>54</v>
      </c>
      <c r="I38">
        <v>5</v>
      </c>
    </row>
    <row r="39" spans="1:9" x14ac:dyDescent="0.35">
      <c r="A39">
        <v>1.84021480000228</v>
      </c>
      <c r="B39" t="s">
        <v>54</v>
      </c>
      <c r="C39">
        <v>5</v>
      </c>
      <c r="G39">
        <v>1.84021480000228</v>
      </c>
      <c r="H39" t="s">
        <v>54</v>
      </c>
      <c r="I39">
        <v>5</v>
      </c>
    </row>
    <row r="40" spans="1:9" x14ac:dyDescent="0.35">
      <c r="A40">
        <v>1.55583810000098</v>
      </c>
      <c r="B40" t="s">
        <v>54</v>
      </c>
      <c r="C40">
        <v>5</v>
      </c>
      <c r="G40">
        <v>1.55583810000098</v>
      </c>
      <c r="H40" t="s">
        <v>54</v>
      </c>
      <c r="I40">
        <v>5</v>
      </c>
    </row>
    <row r="41" spans="1:9" x14ac:dyDescent="0.35">
      <c r="A41">
        <v>1.54010839998954</v>
      </c>
      <c r="B41" t="s">
        <v>54</v>
      </c>
      <c r="C41">
        <v>5</v>
      </c>
      <c r="G41">
        <v>1.54010839998954</v>
      </c>
      <c r="H41" t="s">
        <v>54</v>
      </c>
      <c r="I41">
        <v>5</v>
      </c>
    </row>
    <row r="42" spans="1:9" x14ac:dyDescent="0.35">
      <c r="A42">
        <v>1.8070785999880099</v>
      </c>
      <c r="B42" t="s">
        <v>54</v>
      </c>
      <c r="C42">
        <v>5</v>
      </c>
      <c r="G42">
        <v>1.8070785999880099</v>
      </c>
      <c r="H42" t="s">
        <v>54</v>
      </c>
      <c r="I42">
        <v>5</v>
      </c>
    </row>
    <row r="43" spans="1:9" x14ac:dyDescent="0.35">
      <c r="A43">
        <v>3.7958423000236499</v>
      </c>
      <c r="B43" t="s">
        <v>54</v>
      </c>
      <c r="C43">
        <v>5</v>
      </c>
      <c r="G43">
        <v>3.7958423000236499</v>
      </c>
      <c r="H43" t="s">
        <v>54</v>
      </c>
      <c r="I43">
        <v>5</v>
      </c>
    </row>
    <row r="44" spans="1:9" x14ac:dyDescent="0.35">
      <c r="A44">
        <v>1.36119360002339</v>
      </c>
      <c r="B44" t="s">
        <v>54</v>
      </c>
      <c r="C44">
        <v>5</v>
      </c>
      <c r="G44">
        <v>1.36119360002339</v>
      </c>
      <c r="H44" t="s">
        <v>54</v>
      </c>
      <c r="I44">
        <v>5</v>
      </c>
    </row>
    <row r="45" spans="1:9" x14ac:dyDescent="0.35">
      <c r="A45">
        <v>1.3529432999785</v>
      </c>
      <c r="B45" t="s">
        <v>54</v>
      </c>
      <c r="C45">
        <v>5</v>
      </c>
      <c r="G45">
        <v>1.3529432999785</v>
      </c>
      <c r="H45" t="s">
        <v>54</v>
      </c>
      <c r="I45">
        <v>5</v>
      </c>
    </row>
    <row r="46" spans="1:9" x14ac:dyDescent="0.35">
      <c r="A46">
        <v>1.3420530000002999</v>
      </c>
      <c r="B46" t="s">
        <v>54</v>
      </c>
      <c r="C46">
        <v>5</v>
      </c>
      <c r="G46">
        <v>1.3420530000002999</v>
      </c>
      <c r="H46" t="s">
        <v>54</v>
      </c>
      <c r="I46">
        <v>5</v>
      </c>
    </row>
    <row r="47" spans="1:9" x14ac:dyDescent="0.35">
      <c r="A47">
        <v>1.5351685000059601</v>
      </c>
      <c r="B47" t="s">
        <v>54</v>
      </c>
      <c r="C47">
        <v>5</v>
      </c>
      <c r="G47">
        <v>1.5351685000059601</v>
      </c>
      <c r="H47" t="s">
        <v>54</v>
      </c>
      <c r="I47">
        <v>5</v>
      </c>
    </row>
    <row r="48" spans="1:9" x14ac:dyDescent="0.35">
      <c r="A48">
        <v>1.57168319998891</v>
      </c>
      <c r="B48" t="s">
        <v>54</v>
      </c>
      <c r="C48">
        <v>5</v>
      </c>
      <c r="G48">
        <v>1.57168319998891</v>
      </c>
      <c r="H48" t="s">
        <v>54</v>
      </c>
      <c r="I48">
        <v>5</v>
      </c>
    </row>
    <row r="49" spans="1:9" x14ac:dyDescent="0.35">
      <c r="A49">
        <v>1.6634733999962901</v>
      </c>
      <c r="B49" t="s">
        <v>54</v>
      </c>
      <c r="C49">
        <v>5</v>
      </c>
      <c r="G49">
        <v>1.6634733999962901</v>
      </c>
      <c r="H49" t="s">
        <v>54</v>
      </c>
      <c r="I49">
        <v>5</v>
      </c>
    </row>
    <row r="50" spans="1:9" x14ac:dyDescent="0.35">
      <c r="A50">
        <v>1.3268614000116901</v>
      </c>
      <c r="B50" t="s">
        <v>54</v>
      </c>
      <c r="C50">
        <v>5</v>
      </c>
      <c r="G50">
        <v>1.3268614000116901</v>
      </c>
      <c r="H50" t="s">
        <v>54</v>
      </c>
      <c r="I50">
        <v>5</v>
      </c>
    </row>
    <row r="51" spans="1:9" x14ac:dyDescent="0.35">
      <c r="A51">
        <v>2.7235970000037901</v>
      </c>
      <c r="B51" t="s">
        <v>54</v>
      </c>
      <c r="C51">
        <v>5</v>
      </c>
      <c r="G51">
        <v>2.7235970000037901</v>
      </c>
      <c r="H51" t="s">
        <v>54</v>
      </c>
      <c r="I51">
        <v>5</v>
      </c>
    </row>
    <row r="52" spans="1:9" x14ac:dyDescent="0.35">
      <c r="A52">
        <v>1.6861990999895999</v>
      </c>
      <c r="B52" t="s">
        <v>54</v>
      </c>
      <c r="C52">
        <v>5</v>
      </c>
      <c r="G52">
        <v>1.6861990999895999</v>
      </c>
      <c r="H52" t="s">
        <v>54</v>
      </c>
      <c r="I52">
        <v>5</v>
      </c>
    </row>
    <row r="53" spans="1:9" x14ac:dyDescent="0.35">
      <c r="A53">
        <v>1.55853169999318</v>
      </c>
      <c r="B53" t="s">
        <v>54</v>
      </c>
      <c r="C53">
        <v>5</v>
      </c>
      <c r="G53">
        <v>1.55853169999318</v>
      </c>
      <c r="H53" t="s">
        <v>54</v>
      </c>
      <c r="I53">
        <v>5</v>
      </c>
    </row>
    <row r="54" spans="1:9" x14ac:dyDescent="0.35">
      <c r="A54">
        <v>2.4245757999888098</v>
      </c>
      <c r="B54" t="s">
        <v>54</v>
      </c>
      <c r="C54">
        <v>5</v>
      </c>
      <c r="G54">
        <v>2.4245757999888098</v>
      </c>
      <c r="H54" t="s">
        <v>54</v>
      </c>
      <c r="I54">
        <v>5</v>
      </c>
    </row>
    <row r="55" spans="1:9" x14ac:dyDescent="0.35">
      <c r="A55">
        <v>2.17067260001203</v>
      </c>
      <c r="B55" t="s">
        <v>54</v>
      </c>
      <c r="C55">
        <v>5</v>
      </c>
      <c r="G55">
        <v>2.17067260001203</v>
      </c>
      <c r="H55" t="s">
        <v>54</v>
      </c>
      <c r="I55">
        <v>5</v>
      </c>
    </row>
    <row r="56" spans="1:9" x14ac:dyDescent="0.35">
      <c r="A56">
        <v>1.7922293000156</v>
      </c>
      <c r="B56" t="s">
        <v>54</v>
      </c>
      <c r="C56">
        <v>5</v>
      </c>
      <c r="G56">
        <v>1.7922293000156</v>
      </c>
      <c r="H56" t="s">
        <v>54</v>
      </c>
      <c r="I56">
        <v>5</v>
      </c>
    </row>
    <row r="57" spans="1:9" x14ac:dyDescent="0.35">
      <c r="A57">
        <v>1.7369005999935301</v>
      </c>
      <c r="B57" t="s">
        <v>54</v>
      </c>
      <c r="C57">
        <v>5</v>
      </c>
      <c r="G57">
        <v>1.7369005999935301</v>
      </c>
      <c r="H57" t="s">
        <v>54</v>
      </c>
      <c r="I57">
        <v>5</v>
      </c>
    </row>
    <row r="58" spans="1:9" x14ac:dyDescent="0.35">
      <c r="A58">
        <v>1.6407368000072799</v>
      </c>
      <c r="B58" t="s">
        <v>54</v>
      </c>
      <c r="C58">
        <v>5</v>
      </c>
      <c r="G58">
        <v>1.6407368000072799</v>
      </c>
      <c r="H58" t="s">
        <v>54</v>
      </c>
      <c r="I58">
        <v>5</v>
      </c>
    </row>
    <row r="59" spans="1:9" x14ac:dyDescent="0.35">
      <c r="A59">
        <v>2.0399429000099101</v>
      </c>
      <c r="B59" t="s">
        <v>54</v>
      </c>
      <c r="C59">
        <v>5</v>
      </c>
      <c r="G59">
        <v>2.0399429000099101</v>
      </c>
      <c r="H59" t="s">
        <v>54</v>
      </c>
      <c r="I59">
        <v>5</v>
      </c>
    </row>
    <row r="60" spans="1:9" x14ac:dyDescent="0.35">
      <c r="A60">
        <v>1.7374162999913001</v>
      </c>
      <c r="B60" t="s">
        <v>54</v>
      </c>
      <c r="C60">
        <v>5</v>
      </c>
      <c r="G60">
        <v>1.7374162999913001</v>
      </c>
      <c r="H60" t="s">
        <v>54</v>
      </c>
      <c r="I60">
        <v>5</v>
      </c>
    </row>
    <row r="61" spans="1:9" x14ac:dyDescent="0.35">
      <c r="A61">
        <v>2.4612652999931002</v>
      </c>
      <c r="B61" t="s">
        <v>54</v>
      </c>
      <c r="C61">
        <v>5</v>
      </c>
      <c r="G61">
        <v>2.4612652999931002</v>
      </c>
      <c r="H61" t="s">
        <v>54</v>
      </c>
      <c r="I61">
        <v>5</v>
      </c>
    </row>
    <row r="62" spans="1:9" x14ac:dyDescent="0.35">
      <c r="A62">
        <v>1.9064579000114401</v>
      </c>
      <c r="B62" t="s">
        <v>54</v>
      </c>
      <c r="C62">
        <v>5</v>
      </c>
      <c r="G62">
        <v>1.9064579000114401</v>
      </c>
      <c r="H62" t="s">
        <v>54</v>
      </c>
      <c r="I62">
        <v>5</v>
      </c>
    </row>
    <row r="63" spans="1:9" x14ac:dyDescent="0.35">
      <c r="A63">
        <v>1.42595239999354</v>
      </c>
      <c r="B63" t="s">
        <v>54</v>
      </c>
      <c r="C63">
        <v>5</v>
      </c>
      <c r="G63">
        <v>1.42595239999354</v>
      </c>
      <c r="H63" t="s">
        <v>54</v>
      </c>
      <c r="I63">
        <v>5</v>
      </c>
    </row>
    <row r="64" spans="1:9" x14ac:dyDescent="0.35">
      <c r="A64">
        <v>1.7068716000066999</v>
      </c>
      <c r="B64" t="s">
        <v>54</v>
      </c>
      <c r="C64">
        <v>5</v>
      </c>
      <c r="G64">
        <v>1.7068716000066999</v>
      </c>
      <c r="H64" t="s">
        <v>54</v>
      </c>
      <c r="I64">
        <v>5</v>
      </c>
    </row>
    <row r="65" spans="1:9" x14ac:dyDescent="0.35">
      <c r="A65">
        <v>2.2855221999925499</v>
      </c>
      <c r="B65" t="s">
        <v>54</v>
      </c>
      <c r="C65">
        <v>5</v>
      </c>
      <c r="G65">
        <v>2.2855221999925499</v>
      </c>
      <c r="H65" t="s">
        <v>54</v>
      </c>
      <c r="I65">
        <v>5</v>
      </c>
    </row>
    <row r="66" spans="1:9" x14ac:dyDescent="0.35">
      <c r="A66">
        <v>4.38838250000844</v>
      </c>
      <c r="B66" t="s">
        <v>54</v>
      </c>
      <c r="C66">
        <v>5</v>
      </c>
      <c r="G66">
        <v>4.38838250000844</v>
      </c>
      <c r="H66" t="s">
        <v>54</v>
      </c>
      <c r="I66">
        <v>5</v>
      </c>
    </row>
    <row r="67" spans="1:9" x14ac:dyDescent="0.35">
      <c r="A67">
        <v>2.0953698999946901</v>
      </c>
      <c r="B67" t="s">
        <v>54</v>
      </c>
      <c r="C67">
        <v>5</v>
      </c>
      <c r="G67">
        <v>2.0953698999946901</v>
      </c>
      <c r="H67" t="s">
        <v>54</v>
      </c>
      <c r="I67">
        <v>5</v>
      </c>
    </row>
    <row r="68" spans="1:9" x14ac:dyDescent="0.35">
      <c r="A68">
        <v>2.3902718000172101</v>
      </c>
      <c r="B68" t="s">
        <v>54</v>
      </c>
      <c r="C68">
        <v>5</v>
      </c>
      <c r="G68">
        <v>2.3902718000172101</v>
      </c>
      <c r="H68" t="s">
        <v>54</v>
      </c>
      <c r="I68">
        <v>5</v>
      </c>
    </row>
    <row r="69" spans="1:9" x14ac:dyDescent="0.35">
      <c r="A69">
        <v>1.5931056999834201</v>
      </c>
      <c r="B69" t="s">
        <v>54</v>
      </c>
      <c r="C69">
        <v>5</v>
      </c>
      <c r="G69">
        <v>1.5931056999834201</v>
      </c>
      <c r="H69" t="s">
        <v>54</v>
      </c>
      <c r="I69">
        <v>5</v>
      </c>
    </row>
    <row r="70" spans="1:9" x14ac:dyDescent="0.35">
      <c r="A70">
        <v>1.6935166000039299</v>
      </c>
      <c r="B70" t="s">
        <v>54</v>
      </c>
      <c r="C70">
        <v>5</v>
      </c>
      <c r="G70">
        <v>1.6935166000039299</v>
      </c>
      <c r="H70" t="s">
        <v>54</v>
      </c>
      <c r="I70">
        <v>5</v>
      </c>
    </row>
    <row r="71" spans="1:9" x14ac:dyDescent="0.35">
      <c r="A71">
        <v>2.3396502999821598</v>
      </c>
      <c r="B71" t="s">
        <v>54</v>
      </c>
      <c r="C71">
        <v>5</v>
      </c>
      <c r="G71">
        <v>2.3396502999821598</v>
      </c>
      <c r="H71" t="s">
        <v>54</v>
      </c>
      <c r="I71">
        <v>5</v>
      </c>
    </row>
    <row r="72" spans="1:9" x14ac:dyDescent="0.35">
      <c r="A72">
        <v>1.75476239999989</v>
      </c>
      <c r="B72" t="s">
        <v>54</v>
      </c>
      <c r="C72">
        <v>5</v>
      </c>
      <c r="G72">
        <v>1.75476239999989</v>
      </c>
      <c r="H72" t="s">
        <v>54</v>
      </c>
      <c r="I72">
        <v>5</v>
      </c>
    </row>
    <row r="73" spans="1:9" x14ac:dyDescent="0.35">
      <c r="A73">
        <v>2.3742707000055798</v>
      </c>
      <c r="B73" t="s">
        <v>54</v>
      </c>
      <c r="C73">
        <v>5</v>
      </c>
      <c r="G73">
        <v>2.3742707000055798</v>
      </c>
      <c r="H73" t="s">
        <v>54</v>
      </c>
      <c r="I73">
        <v>5</v>
      </c>
    </row>
    <row r="74" spans="1:9" x14ac:dyDescent="0.35">
      <c r="A74">
        <v>1.90657940000528</v>
      </c>
      <c r="B74" t="s">
        <v>54</v>
      </c>
      <c r="C74">
        <v>5</v>
      </c>
      <c r="G74">
        <v>1.90657940000528</v>
      </c>
      <c r="H74" t="s">
        <v>54</v>
      </c>
      <c r="I74">
        <v>5</v>
      </c>
    </row>
    <row r="75" spans="1:9" x14ac:dyDescent="0.35">
      <c r="A75">
        <v>2.2626436999998898</v>
      </c>
      <c r="B75" t="s">
        <v>54</v>
      </c>
      <c r="C75">
        <v>5</v>
      </c>
      <c r="G75">
        <v>2.2626436999998898</v>
      </c>
      <c r="H75" t="s">
        <v>54</v>
      </c>
      <c r="I75">
        <v>5</v>
      </c>
    </row>
    <row r="76" spans="1:9" x14ac:dyDescent="0.35">
      <c r="A76">
        <v>1.44546760001685</v>
      </c>
      <c r="B76" t="s">
        <v>54</v>
      </c>
      <c r="C76">
        <v>5</v>
      </c>
      <c r="G76">
        <v>1.44546760001685</v>
      </c>
      <c r="H76" t="s">
        <v>54</v>
      </c>
      <c r="I76">
        <v>5</v>
      </c>
    </row>
    <row r="77" spans="1:9" x14ac:dyDescent="0.35">
      <c r="A77">
        <v>1.9426541000138899</v>
      </c>
      <c r="B77" t="s">
        <v>54</v>
      </c>
      <c r="C77">
        <v>5</v>
      </c>
      <c r="G77">
        <v>1.9426541000138899</v>
      </c>
      <c r="H77" t="s">
        <v>54</v>
      </c>
      <c r="I77">
        <v>5</v>
      </c>
    </row>
    <row r="78" spans="1:9" x14ac:dyDescent="0.35">
      <c r="A78">
        <v>2.0120475000003299</v>
      </c>
      <c r="B78" t="s">
        <v>54</v>
      </c>
      <c r="C78">
        <v>5</v>
      </c>
      <c r="G78">
        <v>2.0120475000003299</v>
      </c>
      <c r="H78" t="s">
        <v>54</v>
      </c>
      <c r="I78">
        <v>5</v>
      </c>
    </row>
    <row r="79" spans="1:9" x14ac:dyDescent="0.35">
      <c r="A79">
        <v>1.58043169998563</v>
      </c>
      <c r="B79" t="s">
        <v>54</v>
      </c>
      <c r="C79">
        <v>5</v>
      </c>
      <c r="G79">
        <v>1.58043169998563</v>
      </c>
      <c r="H79" t="s">
        <v>54</v>
      </c>
      <c r="I79">
        <v>5</v>
      </c>
    </row>
    <row r="80" spans="1:9" x14ac:dyDescent="0.35">
      <c r="A80">
        <v>2.10261890001129</v>
      </c>
      <c r="B80" t="s">
        <v>54</v>
      </c>
      <c r="C80">
        <v>5</v>
      </c>
      <c r="G80">
        <v>2.10261890001129</v>
      </c>
      <c r="H80" t="s">
        <v>54</v>
      </c>
      <c r="I80">
        <v>5</v>
      </c>
    </row>
    <row r="81" spans="1:9" x14ac:dyDescent="0.35">
      <c r="A81" s="1" t="s">
        <v>604</v>
      </c>
      <c r="B81" s="1" t="s">
        <v>477</v>
      </c>
      <c r="C81" s="1">
        <v>5</v>
      </c>
      <c r="G81">
        <v>3.2111304999853001</v>
      </c>
      <c r="H81" t="s">
        <v>54</v>
      </c>
      <c r="I81">
        <v>5</v>
      </c>
    </row>
    <row r="82" spans="1:9" x14ac:dyDescent="0.35">
      <c r="A82">
        <v>3.2111304999853001</v>
      </c>
      <c r="B82" t="s">
        <v>54</v>
      </c>
      <c r="C82">
        <v>5</v>
      </c>
      <c r="G82">
        <v>1.2876168999937301</v>
      </c>
      <c r="H82" t="s">
        <v>54</v>
      </c>
      <c r="I82">
        <v>5</v>
      </c>
    </row>
    <row r="83" spans="1:9" x14ac:dyDescent="0.35">
      <c r="A83">
        <v>1.2876168999937301</v>
      </c>
      <c r="B83" t="s">
        <v>54</v>
      </c>
      <c r="C83">
        <v>5</v>
      </c>
      <c r="G83">
        <v>1.9703944999782801</v>
      </c>
      <c r="H83" t="s">
        <v>54</v>
      </c>
      <c r="I83">
        <v>5</v>
      </c>
    </row>
    <row r="84" spans="1:9" x14ac:dyDescent="0.35">
      <c r="A84">
        <v>1.9703944999782801</v>
      </c>
      <c r="B84" t="s">
        <v>54</v>
      </c>
      <c r="C84">
        <v>5</v>
      </c>
      <c r="G84">
        <v>1.8697662999911699</v>
      </c>
      <c r="H84" t="s">
        <v>54</v>
      </c>
      <c r="I84">
        <v>5</v>
      </c>
    </row>
    <row r="85" spans="1:9" x14ac:dyDescent="0.35">
      <c r="A85">
        <v>1.8697662999911699</v>
      </c>
      <c r="B85" t="s">
        <v>54</v>
      </c>
      <c r="C85">
        <v>5</v>
      </c>
      <c r="G85">
        <v>1.5097192999964999</v>
      </c>
      <c r="H85" t="s">
        <v>54</v>
      </c>
      <c r="I85">
        <v>5</v>
      </c>
    </row>
    <row r="86" spans="1:9" x14ac:dyDescent="0.35">
      <c r="A86">
        <v>1.5097192999964999</v>
      </c>
      <c r="B86" t="s">
        <v>54</v>
      </c>
      <c r="C86">
        <v>5</v>
      </c>
      <c r="G86">
        <v>2.1041998000000599</v>
      </c>
      <c r="H86" t="s">
        <v>54</v>
      </c>
      <c r="I86">
        <v>5</v>
      </c>
    </row>
    <row r="87" spans="1:9" x14ac:dyDescent="0.35">
      <c r="A87">
        <v>2.1041998000000599</v>
      </c>
      <c r="B87" t="s">
        <v>54</v>
      </c>
      <c r="C87">
        <v>5</v>
      </c>
      <c r="G87">
        <v>2.05563610000535</v>
      </c>
      <c r="H87" t="s">
        <v>54</v>
      </c>
      <c r="I87">
        <v>5</v>
      </c>
    </row>
    <row r="88" spans="1:9" x14ac:dyDescent="0.35">
      <c r="A88">
        <v>2.05563610000535</v>
      </c>
      <c r="B88" t="s">
        <v>54</v>
      </c>
      <c r="C88">
        <v>5</v>
      </c>
      <c r="G88">
        <v>1.2698707999952601</v>
      </c>
      <c r="H88" t="s">
        <v>54</v>
      </c>
      <c r="I88">
        <v>5</v>
      </c>
    </row>
    <row r="89" spans="1:9" x14ac:dyDescent="0.35">
      <c r="A89">
        <v>1.2698707999952601</v>
      </c>
      <c r="B89" t="s">
        <v>54</v>
      </c>
      <c r="C89">
        <v>5</v>
      </c>
      <c r="G89">
        <v>2.1228621999907702</v>
      </c>
      <c r="H89" t="s">
        <v>54</v>
      </c>
      <c r="I89">
        <v>5</v>
      </c>
    </row>
    <row r="90" spans="1:9" x14ac:dyDescent="0.35">
      <c r="A90">
        <v>2.1228621999907702</v>
      </c>
      <c r="B90" t="s">
        <v>54</v>
      </c>
      <c r="C90">
        <v>5</v>
      </c>
      <c r="G90">
        <v>1.6231388000014699</v>
      </c>
      <c r="H90" t="s">
        <v>54</v>
      </c>
      <c r="I90">
        <v>5</v>
      </c>
    </row>
    <row r="91" spans="1:9" x14ac:dyDescent="0.35">
      <c r="A91">
        <v>1.6231388000014699</v>
      </c>
      <c r="B91" t="s">
        <v>54</v>
      </c>
      <c r="C91">
        <v>5</v>
      </c>
      <c r="G91">
        <v>2.0392717000213398</v>
      </c>
      <c r="H91" t="s">
        <v>54</v>
      </c>
      <c r="I91">
        <v>5</v>
      </c>
    </row>
    <row r="92" spans="1:9" x14ac:dyDescent="0.35">
      <c r="A92">
        <v>2.0392717000213398</v>
      </c>
      <c r="B92" t="s">
        <v>54</v>
      </c>
      <c r="C92">
        <v>5</v>
      </c>
      <c r="G92">
        <v>1.40028780000284</v>
      </c>
      <c r="H92" t="s">
        <v>54</v>
      </c>
      <c r="I92">
        <v>5</v>
      </c>
    </row>
    <row r="93" spans="1:9" x14ac:dyDescent="0.35">
      <c r="A93">
        <v>1.40028780000284</v>
      </c>
      <c r="B93" t="s">
        <v>54</v>
      </c>
      <c r="C93">
        <v>5</v>
      </c>
      <c r="G93">
        <v>2.7538844999798999</v>
      </c>
      <c r="H93" t="s">
        <v>54</v>
      </c>
      <c r="I93">
        <v>5</v>
      </c>
    </row>
    <row r="94" spans="1:9" x14ac:dyDescent="0.35">
      <c r="A94">
        <v>2.7538844999798999</v>
      </c>
      <c r="B94" t="s">
        <v>54</v>
      </c>
      <c r="C94">
        <v>5</v>
      </c>
      <c r="G94">
        <v>1.44071530000655</v>
      </c>
      <c r="H94" t="s">
        <v>54</v>
      </c>
      <c r="I94">
        <v>5</v>
      </c>
    </row>
    <row r="95" spans="1:9" x14ac:dyDescent="0.35">
      <c r="A95">
        <v>1.44071530000655</v>
      </c>
      <c r="B95" t="s">
        <v>54</v>
      </c>
      <c r="C95">
        <v>5</v>
      </c>
      <c r="G95">
        <v>1.6095722999889399</v>
      </c>
      <c r="H95" t="s">
        <v>54</v>
      </c>
      <c r="I95">
        <v>5</v>
      </c>
    </row>
    <row r="96" spans="1:9" x14ac:dyDescent="0.35">
      <c r="A96">
        <v>1.6095722999889399</v>
      </c>
      <c r="B96" t="s">
        <v>54</v>
      </c>
      <c r="C96">
        <v>5</v>
      </c>
      <c r="G96">
        <v>1.5615038000105399</v>
      </c>
      <c r="H96" t="s">
        <v>54</v>
      </c>
      <c r="I96">
        <v>5</v>
      </c>
    </row>
    <row r="97" spans="1:13" x14ac:dyDescent="0.35">
      <c r="A97">
        <v>1.5615038000105399</v>
      </c>
      <c r="B97" t="s">
        <v>54</v>
      </c>
      <c r="C97">
        <v>5</v>
      </c>
      <c r="G97">
        <v>3.3225055999937401</v>
      </c>
      <c r="H97" t="s">
        <v>54</v>
      </c>
      <c r="I97">
        <v>5</v>
      </c>
    </row>
    <row r="98" spans="1:13" x14ac:dyDescent="0.35">
      <c r="A98">
        <v>3.3225055999937401</v>
      </c>
      <c r="B98" t="s">
        <v>54</v>
      </c>
      <c r="C98">
        <v>5</v>
      </c>
      <c r="G98">
        <v>1.6081889999913901</v>
      </c>
      <c r="H98" t="s">
        <v>54</v>
      </c>
      <c r="I98">
        <v>5</v>
      </c>
    </row>
    <row r="99" spans="1:13" x14ac:dyDescent="0.35">
      <c r="A99">
        <v>1.6081889999913901</v>
      </c>
      <c r="B99" t="s">
        <v>54</v>
      </c>
      <c r="C99">
        <v>5</v>
      </c>
      <c r="G99">
        <v>1.6579427999968099</v>
      </c>
      <c r="H99" t="s">
        <v>54</v>
      </c>
      <c r="I99">
        <v>5</v>
      </c>
    </row>
    <row r="100" spans="1:13" x14ac:dyDescent="0.35">
      <c r="A100">
        <v>1.6579427999968099</v>
      </c>
      <c r="B100" t="s">
        <v>54</v>
      </c>
      <c r="C100">
        <v>5</v>
      </c>
      <c r="G100">
        <v>1.5379015000071301</v>
      </c>
      <c r="H100" t="s">
        <v>54</v>
      </c>
      <c r="I100">
        <v>5</v>
      </c>
    </row>
    <row r="101" spans="1:13" x14ac:dyDescent="0.35">
      <c r="A101">
        <v>1.5379015000071301</v>
      </c>
      <c r="B101" t="s">
        <v>54</v>
      </c>
      <c r="C101">
        <v>5</v>
      </c>
      <c r="G101">
        <v>1.65887920002569</v>
      </c>
      <c r="H101" t="s">
        <v>54</v>
      </c>
      <c r="I101">
        <v>5</v>
      </c>
    </row>
    <row r="102" spans="1:13" x14ac:dyDescent="0.35">
      <c r="A102">
        <v>1.65887920002569</v>
      </c>
      <c r="B102" t="s">
        <v>54</v>
      </c>
      <c r="C102">
        <v>5</v>
      </c>
      <c r="G102">
        <v>1.70986980001907</v>
      </c>
      <c r="H102" t="s">
        <v>54</v>
      </c>
      <c r="I102">
        <v>5</v>
      </c>
      <c r="K102" t="s">
        <v>607</v>
      </c>
      <c r="L102">
        <f>AVERAGE(G3:G102)</f>
        <v>1.937310413000811</v>
      </c>
    </row>
    <row r="103" spans="1:13" x14ac:dyDescent="0.35">
      <c r="A103">
        <v>1.70986980001907</v>
      </c>
      <c r="B103" t="s">
        <v>54</v>
      </c>
      <c r="C103">
        <v>5</v>
      </c>
      <c r="G103">
        <v>1.5475774999940699</v>
      </c>
      <c r="H103" t="s">
        <v>54</v>
      </c>
      <c r="I103">
        <v>10</v>
      </c>
      <c r="K103" t="s">
        <v>608</v>
      </c>
      <c r="L103">
        <f>AVERAGE(G103:G199)</f>
        <v>2.0960054567006279</v>
      </c>
    </row>
    <row r="104" spans="1:13" x14ac:dyDescent="0.35">
      <c r="A104">
        <v>1.5475774999940699</v>
      </c>
      <c r="B104" t="s">
        <v>54</v>
      </c>
      <c r="C104">
        <v>10</v>
      </c>
      <c r="G104">
        <v>2.4135799000214302</v>
      </c>
      <c r="H104" t="s">
        <v>54</v>
      </c>
      <c r="I104">
        <v>10</v>
      </c>
    </row>
    <row r="105" spans="1:13" x14ac:dyDescent="0.35">
      <c r="A105">
        <v>2.4135799000214302</v>
      </c>
      <c r="B105" t="s">
        <v>54</v>
      </c>
      <c r="C105">
        <v>10</v>
      </c>
      <c r="G105">
        <v>1.51843709999229</v>
      </c>
      <c r="H105" t="s">
        <v>54</v>
      </c>
      <c r="I105">
        <v>10</v>
      </c>
      <c r="K105" t="s">
        <v>609</v>
      </c>
      <c r="L105" t="s">
        <v>610</v>
      </c>
    </row>
    <row r="106" spans="1:13" x14ac:dyDescent="0.35">
      <c r="A106">
        <v>1.51843709999229</v>
      </c>
      <c r="B106" t="s">
        <v>54</v>
      </c>
      <c r="C106">
        <v>10</v>
      </c>
      <c r="G106">
        <v>1.27541880001081</v>
      </c>
      <c r="H106" t="s">
        <v>54</v>
      </c>
      <c r="I106">
        <v>10</v>
      </c>
    </row>
    <row r="107" spans="1:13" x14ac:dyDescent="0.35">
      <c r="A107">
        <v>1.27541880001081</v>
      </c>
      <c r="B107" t="s">
        <v>54</v>
      </c>
      <c r="C107">
        <v>10</v>
      </c>
      <c r="G107">
        <v>1.89797319998615</v>
      </c>
      <c r="H107" t="s">
        <v>54</v>
      </c>
      <c r="I107">
        <v>10</v>
      </c>
      <c r="L107" s="2"/>
    </row>
    <row r="108" spans="1:13" x14ac:dyDescent="0.35">
      <c r="A108">
        <v>1.89797319998615</v>
      </c>
      <c r="B108" t="s">
        <v>54</v>
      </c>
      <c r="C108">
        <v>10</v>
      </c>
      <c r="G108">
        <v>1.78949540000758</v>
      </c>
      <c r="H108" t="s">
        <v>54</v>
      </c>
      <c r="I108">
        <v>10</v>
      </c>
      <c r="K108" t="s">
        <v>612</v>
      </c>
      <c r="L108">
        <f>10-5</f>
        <v>5</v>
      </c>
    </row>
    <row r="109" spans="1:13" x14ac:dyDescent="0.35">
      <c r="A109">
        <v>1.78949540000758</v>
      </c>
      <c r="B109" t="s">
        <v>54</v>
      </c>
      <c r="C109">
        <v>10</v>
      </c>
      <c r="G109">
        <v>1.7696667999844</v>
      </c>
      <c r="H109" t="s">
        <v>54</v>
      </c>
      <c r="I109">
        <v>10</v>
      </c>
      <c r="K109" t="s">
        <v>611</v>
      </c>
      <c r="L109">
        <f>L103-L102</f>
        <v>0.15869504369981691</v>
      </c>
    </row>
    <row r="110" spans="1:13" x14ac:dyDescent="0.35">
      <c r="A110">
        <v>1.7696667999844</v>
      </c>
      <c r="B110" t="s">
        <v>54</v>
      </c>
      <c r="C110">
        <v>10</v>
      </c>
      <c r="G110">
        <v>1.7416482999978999</v>
      </c>
      <c r="H110" t="s">
        <v>54</v>
      </c>
      <c r="I110">
        <v>10</v>
      </c>
    </row>
    <row r="111" spans="1:13" x14ac:dyDescent="0.35">
      <c r="A111">
        <v>1.7416482999978999</v>
      </c>
      <c r="B111" t="s">
        <v>54</v>
      </c>
      <c r="C111">
        <v>10</v>
      </c>
      <c r="G111">
        <v>1.7026999000227001</v>
      </c>
      <c r="H111" t="s">
        <v>54</v>
      </c>
      <c r="I111">
        <v>10</v>
      </c>
      <c r="K111" t="s">
        <v>613</v>
      </c>
      <c r="L111">
        <f>L109/L108</f>
        <v>3.1739008739963381E-2</v>
      </c>
      <c r="M111" t="s">
        <v>614</v>
      </c>
    </row>
    <row r="112" spans="1:13" x14ac:dyDescent="0.35">
      <c r="A112">
        <v>1.7026999000227001</v>
      </c>
      <c r="B112" t="s">
        <v>54</v>
      </c>
      <c r="C112">
        <v>10</v>
      </c>
      <c r="G112">
        <v>1.3542969000118299</v>
      </c>
      <c r="H112" t="s">
        <v>54</v>
      </c>
      <c r="I112">
        <v>10</v>
      </c>
      <c r="L112">
        <f>L111*1000</f>
        <v>31.739008739963381</v>
      </c>
      <c r="M112" t="s">
        <v>615</v>
      </c>
    </row>
    <row r="113" spans="1:9" x14ac:dyDescent="0.35">
      <c r="A113">
        <v>1.3542969000118299</v>
      </c>
      <c r="B113" t="s">
        <v>54</v>
      </c>
      <c r="C113">
        <v>10</v>
      </c>
      <c r="G113">
        <v>1.4312141000118499</v>
      </c>
      <c r="H113" t="s">
        <v>54</v>
      </c>
      <c r="I113">
        <v>10</v>
      </c>
    </row>
    <row r="114" spans="1:9" x14ac:dyDescent="0.35">
      <c r="A114">
        <v>1.4312141000118499</v>
      </c>
      <c r="B114" t="s">
        <v>54</v>
      </c>
      <c r="C114">
        <v>10</v>
      </c>
      <c r="G114">
        <v>2.0236650000151699</v>
      </c>
      <c r="H114" t="s">
        <v>54</v>
      </c>
      <c r="I114">
        <v>10</v>
      </c>
    </row>
    <row r="115" spans="1:9" x14ac:dyDescent="0.35">
      <c r="A115">
        <v>2.0236650000151699</v>
      </c>
      <c r="B115" t="s">
        <v>54</v>
      </c>
      <c r="C115">
        <v>10</v>
      </c>
      <c r="G115">
        <v>2.97228690001065</v>
      </c>
      <c r="H115" t="s">
        <v>54</v>
      </c>
      <c r="I115">
        <v>10</v>
      </c>
    </row>
    <row r="116" spans="1:9" x14ac:dyDescent="0.35">
      <c r="A116">
        <v>2.97228690001065</v>
      </c>
      <c r="B116" t="s">
        <v>54</v>
      </c>
      <c r="C116">
        <v>10</v>
      </c>
      <c r="G116">
        <v>2.0589274000085398</v>
      </c>
      <c r="H116" t="s">
        <v>54</v>
      </c>
      <c r="I116">
        <v>10</v>
      </c>
    </row>
    <row r="117" spans="1:9" x14ac:dyDescent="0.35">
      <c r="A117">
        <v>2.0589274000085398</v>
      </c>
      <c r="B117" t="s">
        <v>54</v>
      </c>
      <c r="C117">
        <v>10</v>
      </c>
      <c r="G117">
        <v>2.34222309998585</v>
      </c>
      <c r="H117" t="s">
        <v>54</v>
      </c>
      <c r="I117">
        <v>10</v>
      </c>
    </row>
    <row r="118" spans="1:9" x14ac:dyDescent="0.35">
      <c r="A118">
        <v>2.34222309998585</v>
      </c>
      <c r="B118" t="s">
        <v>54</v>
      </c>
      <c r="C118">
        <v>10</v>
      </c>
      <c r="G118">
        <v>1.8162101000198101</v>
      </c>
      <c r="H118" t="s">
        <v>54</v>
      </c>
      <c r="I118">
        <v>10</v>
      </c>
    </row>
    <row r="119" spans="1:9" x14ac:dyDescent="0.35">
      <c r="A119">
        <v>1.8162101000198101</v>
      </c>
      <c r="B119" t="s">
        <v>54</v>
      </c>
      <c r="C119">
        <v>10</v>
      </c>
      <c r="G119">
        <v>2.5910246999992501</v>
      </c>
      <c r="H119" t="s">
        <v>54</v>
      </c>
      <c r="I119">
        <v>10</v>
      </c>
    </row>
    <row r="120" spans="1:9" x14ac:dyDescent="0.35">
      <c r="A120">
        <v>2.5910246999992501</v>
      </c>
      <c r="B120" t="s">
        <v>54</v>
      </c>
      <c r="C120">
        <v>10</v>
      </c>
      <c r="G120">
        <v>2.4328555000247398</v>
      </c>
      <c r="H120" t="s">
        <v>54</v>
      </c>
      <c r="I120">
        <v>10</v>
      </c>
    </row>
    <row r="121" spans="1:9" x14ac:dyDescent="0.35">
      <c r="A121">
        <v>2.4328555000247398</v>
      </c>
      <c r="B121" t="s">
        <v>54</v>
      </c>
      <c r="C121">
        <v>10</v>
      </c>
      <c r="G121">
        <v>1.81444669998018</v>
      </c>
      <c r="H121" t="s">
        <v>54</v>
      </c>
      <c r="I121">
        <v>10</v>
      </c>
    </row>
    <row r="122" spans="1:9" x14ac:dyDescent="0.35">
      <c r="A122">
        <v>1.81444669998018</v>
      </c>
      <c r="B122" t="s">
        <v>54</v>
      </c>
      <c r="C122">
        <v>10</v>
      </c>
      <c r="G122">
        <v>4.0972104999818804</v>
      </c>
      <c r="H122" t="s">
        <v>54</v>
      </c>
      <c r="I122">
        <v>10</v>
      </c>
    </row>
    <row r="123" spans="1:9" x14ac:dyDescent="0.35">
      <c r="A123">
        <v>4.0972104999818804</v>
      </c>
      <c r="B123" t="s">
        <v>54</v>
      </c>
      <c r="C123">
        <v>10</v>
      </c>
      <c r="G123">
        <v>1.7960873999982101</v>
      </c>
      <c r="H123" t="s">
        <v>54</v>
      </c>
      <c r="I123">
        <v>10</v>
      </c>
    </row>
    <row r="124" spans="1:9" x14ac:dyDescent="0.35">
      <c r="A124">
        <v>1.7960873999982101</v>
      </c>
      <c r="B124" t="s">
        <v>54</v>
      </c>
      <c r="C124">
        <v>10</v>
      </c>
      <c r="G124">
        <v>1.7516534999886</v>
      </c>
      <c r="H124" t="s">
        <v>54</v>
      </c>
      <c r="I124">
        <v>10</v>
      </c>
    </row>
    <row r="125" spans="1:9" x14ac:dyDescent="0.35">
      <c r="A125">
        <v>1.7516534999886</v>
      </c>
      <c r="B125" t="s">
        <v>54</v>
      </c>
      <c r="C125">
        <v>10</v>
      </c>
      <c r="G125">
        <v>1.9658515999908499</v>
      </c>
      <c r="H125" t="s">
        <v>54</v>
      </c>
      <c r="I125">
        <v>10</v>
      </c>
    </row>
    <row r="126" spans="1:9" x14ac:dyDescent="0.35">
      <c r="A126">
        <v>1.9658515999908499</v>
      </c>
      <c r="B126" t="s">
        <v>54</v>
      </c>
      <c r="C126">
        <v>10</v>
      </c>
      <c r="G126">
        <v>2.7146016999904501</v>
      </c>
      <c r="H126" t="s">
        <v>54</v>
      </c>
      <c r="I126">
        <v>10</v>
      </c>
    </row>
    <row r="127" spans="1:9" x14ac:dyDescent="0.35">
      <c r="A127">
        <v>2.7146016999904501</v>
      </c>
      <c r="B127" t="s">
        <v>54</v>
      </c>
      <c r="C127">
        <v>10</v>
      </c>
      <c r="G127">
        <v>1.92830679999315</v>
      </c>
      <c r="H127" t="s">
        <v>54</v>
      </c>
      <c r="I127">
        <v>10</v>
      </c>
    </row>
    <row r="128" spans="1:9" x14ac:dyDescent="0.35">
      <c r="A128">
        <v>1.92830679999315</v>
      </c>
      <c r="B128" t="s">
        <v>54</v>
      </c>
      <c r="C128">
        <v>10</v>
      </c>
      <c r="G128">
        <v>1.5985435000038699</v>
      </c>
      <c r="H128" t="s">
        <v>54</v>
      </c>
      <c r="I128">
        <v>10</v>
      </c>
    </row>
    <row r="129" spans="1:9" x14ac:dyDescent="0.35">
      <c r="A129">
        <v>1.5985435000038699</v>
      </c>
      <c r="B129" t="s">
        <v>54</v>
      </c>
      <c r="C129">
        <v>10</v>
      </c>
      <c r="G129">
        <v>2.28936419999809</v>
      </c>
      <c r="H129" t="s">
        <v>54</v>
      </c>
      <c r="I129">
        <v>10</v>
      </c>
    </row>
    <row r="130" spans="1:9" x14ac:dyDescent="0.35">
      <c r="A130">
        <v>2.28936419999809</v>
      </c>
      <c r="B130" t="s">
        <v>54</v>
      </c>
      <c r="C130">
        <v>10</v>
      </c>
      <c r="G130">
        <v>2.92882900001131</v>
      </c>
      <c r="H130" t="s">
        <v>54</v>
      </c>
      <c r="I130">
        <v>10</v>
      </c>
    </row>
    <row r="131" spans="1:9" x14ac:dyDescent="0.35">
      <c r="A131">
        <v>2.92882900001131</v>
      </c>
      <c r="B131" t="s">
        <v>54</v>
      </c>
      <c r="C131">
        <v>10</v>
      </c>
      <c r="G131">
        <v>1.66791019999072</v>
      </c>
      <c r="H131" t="s">
        <v>54</v>
      </c>
      <c r="I131">
        <v>10</v>
      </c>
    </row>
    <row r="132" spans="1:9" x14ac:dyDescent="0.35">
      <c r="A132">
        <v>1.66791019999072</v>
      </c>
      <c r="B132" t="s">
        <v>54</v>
      </c>
      <c r="C132">
        <v>10</v>
      </c>
      <c r="G132">
        <v>1.91781380001339</v>
      </c>
      <c r="H132" t="s">
        <v>54</v>
      </c>
      <c r="I132">
        <v>10</v>
      </c>
    </row>
    <row r="133" spans="1:9" x14ac:dyDescent="0.35">
      <c r="A133">
        <v>1.91781380001339</v>
      </c>
      <c r="B133" t="s">
        <v>54</v>
      </c>
      <c r="C133">
        <v>10</v>
      </c>
      <c r="G133">
        <v>1.7815715000033301</v>
      </c>
      <c r="H133" t="s">
        <v>54</v>
      </c>
      <c r="I133">
        <v>10</v>
      </c>
    </row>
    <row r="134" spans="1:9" x14ac:dyDescent="0.35">
      <c r="A134">
        <v>1.7815715000033301</v>
      </c>
      <c r="B134" t="s">
        <v>54</v>
      </c>
      <c r="C134">
        <v>10</v>
      </c>
      <c r="G134">
        <v>2.2863729000091499</v>
      </c>
      <c r="H134" t="s">
        <v>54</v>
      </c>
      <c r="I134">
        <v>10</v>
      </c>
    </row>
    <row r="135" spans="1:9" x14ac:dyDescent="0.35">
      <c r="A135">
        <v>2.2863729000091499</v>
      </c>
      <c r="B135" t="s">
        <v>54</v>
      </c>
      <c r="C135">
        <v>10</v>
      </c>
      <c r="G135">
        <v>3.55718899998464</v>
      </c>
      <c r="H135" t="s">
        <v>54</v>
      </c>
      <c r="I135">
        <v>10</v>
      </c>
    </row>
    <row r="136" spans="1:9" x14ac:dyDescent="0.35">
      <c r="A136">
        <v>3.55718899998464</v>
      </c>
      <c r="B136" t="s">
        <v>54</v>
      </c>
      <c r="C136">
        <v>10</v>
      </c>
      <c r="G136">
        <v>1.5588625000091201</v>
      </c>
      <c r="H136" t="s">
        <v>54</v>
      </c>
      <c r="I136">
        <v>10</v>
      </c>
    </row>
    <row r="137" spans="1:9" x14ac:dyDescent="0.35">
      <c r="A137">
        <v>1.5588625000091201</v>
      </c>
      <c r="B137" t="s">
        <v>54</v>
      </c>
      <c r="C137">
        <v>10</v>
      </c>
      <c r="G137">
        <v>1.8421415000048</v>
      </c>
      <c r="H137" t="s">
        <v>54</v>
      </c>
      <c r="I137">
        <v>10</v>
      </c>
    </row>
    <row r="138" spans="1:9" x14ac:dyDescent="0.35">
      <c r="A138">
        <v>1.8421415000048</v>
      </c>
      <c r="B138" t="s">
        <v>54</v>
      </c>
      <c r="C138">
        <v>10</v>
      </c>
      <c r="G138">
        <v>2.4027476999908601</v>
      </c>
      <c r="H138" t="s">
        <v>54</v>
      </c>
      <c r="I138">
        <v>10</v>
      </c>
    </row>
    <row r="139" spans="1:9" x14ac:dyDescent="0.35">
      <c r="A139">
        <v>2.4027476999908601</v>
      </c>
      <c r="B139" t="s">
        <v>54</v>
      </c>
      <c r="C139">
        <v>10</v>
      </c>
      <c r="G139">
        <v>3.0594474000099501</v>
      </c>
      <c r="H139" t="s">
        <v>54</v>
      </c>
      <c r="I139">
        <v>10</v>
      </c>
    </row>
    <row r="140" spans="1:9" x14ac:dyDescent="0.35">
      <c r="A140">
        <v>3.0594474000099501</v>
      </c>
      <c r="B140" t="s">
        <v>54</v>
      </c>
      <c r="C140">
        <v>10</v>
      </c>
      <c r="G140">
        <v>2.4085143999836802</v>
      </c>
      <c r="H140" t="s">
        <v>54</v>
      </c>
      <c r="I140">
        <v>10</v>
      </c>
    </row>
    <row r="141" spans="1:9" x14ac:dyDescent="0.35">
      <c r="A141">
        <v>2.4085143999836802</v>
      </c>
      <c r="B141" t="s">
        <v>54</v>
      </c>
      <c r="C141">
        <v>10</v>
      </c>
      <c r="G141">
        <v>2.3349225000129001</v>
      </c>
      <c r="H141" t="s">
        <v>54</v>
      </c>
      <c r="I141">
        <v>10</v>
      </c>
    </row>
    <row r="142" spans="1:9" x14ac:dyDescent="0.35">
      <c r="A142">
        <v>2.3349225000129001</v>
      </c>
      <c r="B142" t="s">
        <v>54</v>
      </c>
      <c r="C142">
        <v>10</v>
      </c>
      <c r="G142">
        <v>1.9293760000145901</v>
      </c>
      <c r="H142" t="s">
        <v>54</v>
      </c>
      <c r="I142">
        <v>10</v>
      </c>
    </row>
    <row r="143" spans="1:9" x14ac:dyDescent="0.35">
      <c r="A143">
        <v>1.9293760000145901</v>
      </c>
      <c r="B143" t="s">
        <v>54</v>
      </c>
      <c r="C143">
        <v>10</v>
      </c>
      <c r="G143">
        <v>3.4508976000070102</v>
      </c>
      <c r="H143" t="s">
        <v>54</v>
      </c>
      <c r="I143">
        <v>10</v>
      </c>
    </row>
    <row r="144" spans="1:9" x14ac:dyDescent="0.35">
      <c r="A144">
        <v>3.4508976000070102</v>
      </c>
      <c r="B144" t="s">
        <v>54</v>
      </c>
      <c r="C144">
        <v>10</v>
      </c>
      <c r="G144">
        <v>1.61591379999299</v>
      </c>
      <c r="H144" t="s">
        <v>54</v>
      </c>
      <c r="I144">
        <v>10</v>
      </c>
    </row>
    <row r="145" spans="1:9" x14ac:dyDescent="0.35">
      <c r="A145">
        <v>1.61591379999299</v>
      </c>
      <c r="B145" t="s">
        <v>54</v>
      </c>
      <c r="C145">
        <v>10</v>
      </c>
      <c r="G145">
        <v>1.8955607999814601</v>
      </c>
      <c r="H145" t="s">
        <v>54</v>
      </c>
      <c r="I145">
        <v>10</v>
      </c>
    </row>
    <row r="146" spans="1:9" x14ac:dyDescent="0.35">
      <c r="A146">
        <v>1.8955607999814601</v>
      </c>
      <c r="B146" t="s">
        <v>54</v>
      </c>
      <c r="C146">
        <v>10</v>
      </c>
      <c r="G146">
        <v>1.35357559999101</v>
      </c>
      <c r="H146" t="s">
        <v>54</v>
      </c>
      <c r="I146">
        <v>10</v>
      </c>
    </row>
    <row r="147" spans="1:9" x14ac:dyDescent="0.35">
      <c r="A147">
        <v>1.35357559999101</v>
      </c>
      <c r="B147" t="s">
        <v>54</v>
      </c>
      <c r="C147">
        <v>10</v>
      </c>
      <c r="G147">
        <v>1.4429184999899001</v>
      </c>
      <c r="H147" t="s">
        <v>54</v>
      </c>
      <c r="I147">
        <v>10</v>
      </c>
    </row>
    <row r="148" spans="1:9" x14ac:dyDescent="0.35">
      <c r="A148">
        <v>1.4429184999899001</v>
      </c>
      <c r="B148" t="s">
        <v>54</v>
      </c>
      <c r="C148">
        <v>10</v>
      </c>
      <c r="G148">
        <v>2.29043040002579</v>
      </c>
      <c r="H148" t="s">
        <v>54</v>
      </c>
      <c r="I148">
        <v>10</v>
      </c>
    </row>
    <row r="149" spans="1:9" x14ac:dyDescent="0.35">
      <c r="A149">
        <v>2.29043040002579</v>
      </c>
      <c r="B149" t="s">
        <v>54</v>
      </c>
      <c r="C149">
        <v>10</v>
      </c>
      <c r="G149">
        <v>2.5279649999865699</v>
      </c>
      <c r="H149" t="s">
        <v>54</v>
      </c>
      <c r="I149">
        <v>10</v>
      </c>
    </row>
    <row r="150" spans="1:9" x14ac:dyDescent="0.35">
      <c r="A150">
        <v>2.5279649999865699</v>
      </c>
      <c r="B150" t="s">
        <v>54</v>
      </c>
      <c r="C150">
        <v>10</v>
      </c>
      <c r="G150">
        <v>1.6784365000203201</v>
      </c>
      <c r="H150" t="s">
        <v>54</v>
      </c>
      <c r="I150">
        <v>10</v>
      </c>
    </row>
    <row r="151" spans="1:9" x14ac:dyDescent="0.35">
      <c r="A151">
        <v>1.6784365000203201</v>
      </c>
      <c r="B151" t="s">
        <v>54</v>
      </c>
      <c r="C151">
        <v>10</v>
      </c>
      <c r="G151">
        <v>2.7974457000091202</v>
      </c>
      <c r="H151" t="s">
        <v>54</v>
      </c>
      <c r="I151">
        <v>10</v>
      </c>
    </row>
    <row r="152" spans="1:9" x14ac:dyDescent="0.35">
      <c r="A152">
        <v>2.7974457000091202</v>
      </c>
      <c r="B152" t="s">
        <v>54</v>
      </c>
      <c r="C152">
        <v>10</v>
      </c>
      <c r="G152">
        <v>1.8596275000018001</v>
      </c>
      <c r="H152" t="s">
        <v>54</v>
      </c>
      <c r="I152">
        <v>10</v>
      </c>
    </row>
    <row r="153" spans="1:9" x14ac:dyDescent="0.35">
      <c r="A153">
        <v>1.8596275000018001</v>
      </c>
      <c r="B153" t="s">
        <v>54</v>
      </c>
      <c r="C153">
        <v>10</v>
      </c>
      <c r="G153">
        <v>1.88027480000164</v>
      </c>
      <c r="H153" t="s">
        <v>54</v>
      </c>
      <c r="I153">
        <v>10</v>
      </c>
    </row>
    <row r="154" spans="1:9" x14ac:dyDescent="0.35">
      <c r="A154">
        <v>1.88027480000164</v>
      </c>
      <c r="B154" t="s">
        <v>54</v>
      </c>
      <c r="C154">
        <v>10</v>
      </c>
      <c r="G154">
        <v>3.66700099999434</v>
      </c>
      <c r="H154" t="s">
        <v>54</v>
      </c>
      <c r="I154">
        <v>10</v>
      </c>
    </row>
    <row r="155" spans="1:9" x14ac:dyDescent="0.35">
      <c r="A155">
        <v>3.66700099999434</v>
      </c>
      <c r="B155" t="s">
        <v>54</v>
      </c>
      <c r="C155">
        <v>10</v>
      </c>
      <c r="G155">
        <v>1.91315400000894</v>
      </c>
      <c r="H155" t="s">
        <v>54</v>
      </c>
      <c r="I155">
        <v>10</v>
      </c>
    </row>
    <row r="156" spans="1:9" x14ac:dyDescent="0.35">
      <c r="A156">
        <v>1.91315400000894</v>
      </c>
      <c r="B156" t="s">
        <v>54</v>
      </c>
      <c r="C156">
        <v>10</v>
      </c>
      <c r="G156">
        <v>1.61652720000711</v>
      </c>
      <c r="H156" t="s">
        <v>54</v>
      </c>
      <c r="I156">
        <v>10</v>
      </c>
    </row>
    <row r="157" spans="1:9" x14ac:dyDescent="0.35">
      <c r="A157">
        <v>1.61652720000711</v>
      </c>
      <c r="B157" t="s">
        <v>54</v>
      </c>
      <c r="C157">
        <v>10</v>
      </c>
      <c r="G157">
        <v>1.68217710001044</v>
      </c>
      <c r="H157" t="s">
        <v>54</v>
      </c>
      <c r="I157">
        <v>10</v>
      </c>
    </row>
    <row r="158" spans="1:9" x14ac:dyDescent="0.35">
      <c r="A158">
        <v>1.68217710001044</v>
      </c>
      <c r="B158" t="s">
        <v>54</v>
      </c>
      <c r="C158">
        <v>10</v>
      </c>
      <c r="G158">
        <v>1.3179250999819401</v>
      </c>
      <c r="H158" t="s">
        <v>54</v>
      </c>
      <c r="I158">
        <v>10</v>
      </c>
    </row>
    <row r="159" spans="1:9" x14ac:dyDescent="0.35">
      <c r="A159">
        <v>1.3179250999819401</v>
      </c>
      <c r="B159" t="s">
        <v>54</v>
      </c>
      <c r="C159">
        <v>10</v>
      </c>
      <c r="G159">
        <v>1.7601091999967999</v>
      </c>
      <c r="H159" t="s">
        <v>54</v>
      </c>
      <c r="I159">
        <v>10</v>
      </c>
    </row>
    <row r="160" spans="1:9" x14ac:dyDescent="0.35">
      <c r="A160">
        <v>1.7601091999967999</v>
      </c>
      <c r="B160" t="s">
        <v>54</v>
      </c>
      <c r="C160">
        <v>10</v>
      </c>
      <c r="G160">
        <v>1.43687340000178</v>
      </c>
      <c r="H160" t="s">
        <v>54</v>
      </c>
      <c r="I160">
        <v>10</v>
      </c>
    </row>
    <row r="161" spans="1:9" x14ac:dyDescent="0.35">
      <c r="A161">
        <v>1.43687340000178</v>
      </c>
      <c r="B161" t="s">
        <v>54</v>
      </c>
      <c r="C161">
        <v>10</v>
      </c>
      <c r="G161">
        <v>1.94511400000192</v>
      </c>
      <c r="H161" t="s">
        <v>54</v>
      </c>
      <c r="I161">
        <v>10</v>
      </c>
    </row>
    <row r="162" spans="1:9" x14ac:dyDescent="0.35">
      <c r="A162">
        <v>1.94511400000192</v>
      </c>
      <c r="B162" t="s">
        <v>54</v>
      </c>
      <c r="C162">
        <v>10</v>
      </c>
      <c r="G162">
        <v>2.41903170000296</v>
      </c>
      <c r="H162" t="s">
        <v>54</v>
      </c>
      <c r="I162">
        <v>10</v>
      </c>
    </row>
    <row r="163" spans="1:9" x14ac:dyDescent="0.35">
      <c r="A163">
        <v>2.41903170000296</v>
      </c>
      <c r="B163" t="s">
        <v>54</v>
      </c>
      <c r="C163">
        <v>10</v>
      </c>
      <c r="G163">
        <v>4.03681459999643</v>
      </c>
      <c r="H163" t="s">
        <v>54</v>
      </c>
      <c r="I163">
        <v>10</v>
      </c>
    </row>
    <row r="164" spans="1:9" x14ac:dyDescent="0.35">
      <c r="A164">
        <v>4.03681459999643</v>
      </c>
      <c r="B164" t="s">
        <v>54</v>
      </c>
      <c r="C164">
        <v>10</v>
      </c>
      <c r="G164">
        <v>2.23608259999309</v>
      </c>
      <c r="H164" t="s">
        <v>54</v>
      </c>
      <c r="I164">
        <v>10</v>
      </c>
    </row>
    <row r="165" spans="1:9" x14ac:dyDescent="0.35">
      <c r="A165">
        <v>2.23608259999309</v>
      </c>
      <c r="B165" t="s">
        <v>54</v>
      </c>
      <c r="C165">
        <v>10</v>
      </c>
      <c r="G165">
        <v>1.72377700000652</v>
      </c>
      <c r="H165" t="s">
        <v>54</v>
      </c>
      <c r="I165">
        <v>10</v>
      </c>
    </row>
    <row r="166" spans="1:9" x14ac:dyDescent="0.35">
      <c r="A166">
        <v>1.72377700000652</v>
      </c>
      <c r="B166" t="s">
        <v>54</v>
      </c>
      <c r="C166">
        <v>10</v>
      </c>
      <c r="G166">
        <v>1.84056459998828</v>
      </c>
      <c r="H166" t="s">
        <v>54</v>
      </c>
      <c r="I166">
        <v>10</v>
      </c>
    </row>
    <row r="167" spans="1:9" x14ac:dyDescent="0.35">
      <c r="A167">
        <v>1.84056459998828</v>
      </c>
      <c r="B167" t="s">
        <v>54</v>
      </c>
      <c r="C167">
        <v>10</v>
      </c>
      <c r="G167">
        <v>3.9404511999746301</v>
      </c>
      <c r="H167" t="s">
        <v>54</v>
      </c>
      <c r="I167">
        <v>10</v>
      </c>
    </row>
    <row r="168" spans="1:9" x14ac:dyDescent="0.35">
      <c r="A168">
        <v>3.9404511999746301</v>
      </c>
      <c r="B168" t="s">
        <v>54</v>
      </c>
      <c r="C168">
        <v>10</v>
      </c>
      <c r="G168">
        <v>3.0387145999993601</v>
      </c>
      <c r="H168" t="s">
        <v>54</v>
      </c>
      <c r="I168">
        <v>10</v>
      </c>
    </row>
    <row r="169" spans="1:9" x14ac:dyDescent="0.35">
      <c r="A169">
        <v>3.0387145999993601</v>
      </c>
      <c r="B169" t="s">
        <v>54</v>
      </c>
      <c r="C169">
        <v>10</v>
      </c>
      <c r="G169">
        <v>3.0017569999909002</v>
      </c>
      <c r="H169" t="s">
        <v>54</v>
      </c>
      <c r="I169">
        <v>10</v>
      </c>
    </row>
    <row r="170" spans="1:9" x14ac:dyDescent="0.35">
      <c r="A170">
        <v>3.0017569999909002</v>
      </c>
      <c r="B170" t="s">
        <v>54</v>
      </c>
      <c r="C170">
        <v>10</v>
      </c>
      <c r="G170">
        <v>1.40237299998989</v>
      </c>
      <c r="H170" t="s">
        <v>54</v>
      </c>
      <c r="I170">
        <v>10</v>
      </c>
    </row>
    <row r="171" spans="1:9" x14ac:dyDescent="0.35">
      <c r="A171">
        <v>1.40237299998989</v>
      </c>
      <c r="B171" t="s">
        <v>54</v>
      </c>
      <c r="C171">
        <v>10</v>
      </c>
      <c r="G171">
        <v>1.77959980000741</v>
      </c>
      <c r="H171" t="s">
        <v>54</v>
      </c>
      <c r="I171">
        <v>10</v>
      </c>
    </row>
    <row r="172" spans="1:9" x14ac:dyDescent="0.35">
      <c r="A172">
        <v>1.77959980000741</v>
      </c>
      <c r="B172" t="s">
        <v>54</v>
      </c>
      <c r="C172">
        <v>10</v>
      </c>
      <c r="G172">
        <v>1.5555491999839399</v>
      </c>
      <c r="H172" t="s">
        <v>54</v>
      </c>
      <c r="I172">
        <v>10</v>
      </c>
    </row>
    <row r="173" spans="1:9" x14ac:dyDescent="0.35">
      <c r="A173">
        <v>1.5555491999839399</v>
      </c>
      <c r="B173" t="s">
        <v>54</v>
      </c>
      <c r="C173">
        <v>10</v>
      </c>
      <c r="G173">
        <v>1.5160618999798301</v>
      </c>
      <c r="H173" t="s">
        <v>54</v>
      </c>
      <c r="I173">
        <v>10</v>
      </c>
    </row>
    <row r="174" spans="1:9" x14ac:dyDescent="0.35">
      <c r="A174">
        <v>1.5160618999798301</v>
      </c>
      <c r="B174" t="s">
        <v>54</v>
      </c>
      <c r="C174">
        <v>10</v>
      </c>
      <c r="G174">
        <v>2.0370906999742102</v>
      </c>
      <c r="H174" t="s">
        <v>54</v>
      </c>
      <c r="I174">
        <v>10</v>
      </c>
    </row>
    <row r="175" spans="1:9" x14ac:dyDescent="0.35">
      <c r="A175">
        <v>2.0370906999742102</v>
      </c>
      <c r="B175" t="s">
        <v>54</v>
      </c>
      <c r="C175">
        <v>10</v>
      </c>
      <c r="G175">
        <v>1.4339594999910299</v>
      </c>
      <c r="H175" t="s">
        <v>54</v>
      </c>
      <c r="I175">
        <v>10</v>
      </c>
    </row>
    <row r="176" spans="1:9" x14ac:dyDescent="0.35">
      <c r="A176">
        <v>1.4339594999910299</v>
      </c>
      <c r="B176" t="s">
        <v>54</v>
      </c>
      <c r="C176">
        <v>10</v>
      </c>
      <c r="G176">
        <v>2.5078385999950101</v>
      </c>
      <c r="H176" t="s">
        <v>54</v>
      </c>
      <c r="I176">
        <v>10</v>
      </c>
    </row>
    <row r="177" spans="1:9" x14ac:dyDescent="0.35">
      <c r="A177">
        <v>2.5078385999950101</v>
      </c>
      <c r="B177" t="s">
        <v>54</v>
      </c>
      <c r="C177">
        <v>10</v>
      </c>
      <c r="G177">
        <v>2.8360442999983202</v>
      </c>
      <c r="H177" t="s">
        <v>54</v>
      </c>
      <c r="I177">
        <v>10</v>
      </c>
    </row>
    <row r="178" spans="1:9" x14ac:dyDescent="0.35">
      <c r="A178" s="1" t="s">
        <v>605</v>
      </c>
      <c r="B178" s="1" t="s">
        <v>477</v>
      </c>
      <c r="C178" s="1">
        <v>10</v>
      </c>
      <c r="G178">
        <v>1.850414000015</v>
      </c>
      <c r="H178" t="s">
        <v>54</v>
      </c>
      <c r="I178">
        <v>10</v>
      </c>
    </row>
    <row r="179" spans="1:9" x14ac:dyDescent="0.35">
      <c r="A179">
        <v>2.8360442999983202</v>
      </c>
      <c r="B179" t="s">
        <v>54</v>
      </c>
      <c r="C179">
        <v>10</v>
      </c>
      <c r="G179">
        <v>1.9343321000051199</v>
      </c>
      <c r="H179" t="s">
        <v>54</v>
      </c>
      <c r="I179">
        <v>10</v>
      </c>
    </row>
    <row r="180" spans="1:9" x14ac:dyDescent="0.35">
      <c r="A180">
        <v>1.850414000015</v>
      </c>
      <c r="B180" t="s">
        <v>54</v>
      </c>
      <c r="C180">
        <v>10</v>
      </c>
      <c r="G180">
        <v>1.7870884000149001</v>
      </c>
      <c r="H180" t="s">
        <v>54</v>
      </c>
      <c r="I180">
        <v>10</v>
      </c>
    </row>
    <row r="181" spans="1:9" x14ac:dyDescent="0.35">
      <c r="A181" s="1" t="s">
        <v>606</v>
      </c>
      <c r="B181" s="1" t="s">
        <v>477</v>
      </c>
      <c r="C181" s="1">
        <v>10</v>
      </c>
      <c r="G181">
        <v>1.9871156000008301</v>
      </c>
      <c r="H181" t="s">
        <v>54</v>
      </c>
      <c r="I181">
        <v>10</v>
      </c>
    </row>
    <row r="182" spans="1:9" x14ac:dyDescent="0.35">
      <c r="A182">
        <v>1.9343321000051199</v>
      </c>
      <c r="B182" t="s">
        <v>54</v>
      </c>
      <c r="C182">
        <v>10</v>
      </c>
      <c r="G182">
        <v>1.4878751999931401</v>
      </c>
      <c r="H182" t="s">
        <v>54</v>
      </c>
      <c r="I182">
        <v>10</v>
      </c>
    </row>
    <row r="183" spans="1:9" x14ac:dyDescent="0.35">
      <c r="A183">
        <v>1.7870884000149001</v>
      </c>
      <c r="B183" t="s">
        <v>54</v>
      </c>
      <c r="C183">
        <v>10</v>
      </c>
      <c r="G183">
        <v>1.6866625999973599</v>
      </c>
      <c r="H183" t="s">
        <v>54</v>
      </c>
      <c r="I183">
        <v>10</v>
      </c>
    </row>
    <row r="184" spans="1:9" x14ac:dyDescent="0.35">
      <c r="A184">
        <v>1.9871156000008301</v>
      </c>
      <c r="B184" t="s">
        <v>54</v>
      </c>
      <c r="C184">
        <v>10</v>
      </c>
      <c r="G184">
        <v>2.3960195000108699</v>
      </c>
      <c r="H184" t="s">
        <v>54</v>
      </c>
      <c r="I184">
        <v>10</v>
      </c>
    </row>
    <row r="185" spans="1:9" x14ac:dyDescent="0.35">
      <c r="A185">
        <v>1.4878751999931401</v>
      </c>
      <c r="B185" t="s">
        <v>54</v>
      </c>
      <c r="C185">
        <v>10</v>
      </c>
      <c r="G185">
        <v>2.1214257999963499</v>
      </c>
      <c r="H185" t="s">
        <v>54</v>
      </c>
      <c r="I185">
        <v>10</v>
      </c>
    </row>
    <row r="186" spans="1:9" x14ac:dyDescent="0.35">
      <c r="A186">
        <v>1.6866625999973599</v>
      </c>
      <c r="B186" t="s">
        <v>54</v>
      </c>
      <c r="C186">
        <v>10</v>
      </c>
      <c r="G186">
        <v>1.83584219997283</v>
      </c>
      <c r="H186" t="s">
        <v>54</v>
      </c>
      <c r="I186">
        <v>10</v>
      </c>
    </row>
    <row r="187" spans="1:9" x14ac:dyDescent="0.35">
      <c r="A187">
        <v>2.3960195000108699</v>
      </c>
      <c r="B187" t="s">
        <v>54</v>
      </c>
      <c r="C187">
        <v>10</v>
      </c>
      <c r="G187">
        <v>1.59296270000049</v>
      </c>
      <c r="H187" t="s">
        <v>54</v>
      </c>
      <c r="I187">
        <v>10</v>
      </c>
    </row>
    <row r="188" spans="1:9" x14ac:dyDescent="0.35">
      <c r="A188">
        <v>2.1214257999963499</v>
      </c>
      <c r="B188" t="s">
        <v>54</v>
      </c>
      <c r="C188">
        <v>10</v>
      </c>
      <c r="G188">
        <v>3.46010409999871</v>
      </c>
      <c r="H188" t="s">
        <v>54</v>
      </c>
      <c r="I188">
        <v>10</v>
      </c>
    </row>
    <row r="189" spans="1:9" x14ac:dyDescent="0.35">
      <c r="A189">
        <v>1.83584219997283</v>
      </c>
      <c r="B189" t="s">
        <v>54</v>
      </c>
      <c r="C189">
        <v>10</v>
      </c>
      <c r="G189">
        <v>1.3301160999981201</v>
      </c>
      <c r="H189" t="s">
        <v>54</v>
      </c>
      <c r="I189">
        <v>10</v>
      </c>
    </row>
    <row r="190" spans="1:9" x14ac:dyDescent="0.35">
      <c r="A190">
        <v>1.59296270000049</v>
      </c>
      <c r="B190" t="s">
        <v>54</v>
      </c>
      <c r="C190">
        <v>10</v>
      </c>
      <c r="G190">
        <v>1.70396250000339</v>
      </c>
      <c r="H190" t="s">
        <v>54</v>
      </c>
      <c r="I190">
        <v>10</v>
      </c>
    </row>
    <row r="191" spans="1:9" x14ac:dyDescent="0.35">
      <c r="A191">
        <v>3.46010409999871</v>
      </c>
      <c r="B191" t="s">
        <v>54</v>
      </c>
      <c r="C191">
        <v>10</v>
      </c>
      <c r="G191">
        <v>2.0475361999997399</v>
      </c>
      <c r="H191" t="s">
        <v>54</v>
      </c>
      <c r="I191">
        <v>10</v>
      </c>
    </row>
    <row r="192" spans="1:9" x14ac:dyDescent="0.35">
      <c r="A192">
        <v>1.3301160999981201</v>
      </c>
      <c r="B192" t="s">
        <v>54</v>
      </c>
      <c r="C192">
        <v>10</v>
      </c>
      <c r="G192">
        <v>1.45628099999157</v>
      </c>
      <c r="H192" t="s">
        <v>54</v>
      </c>
      <c r="I192">
        <v>10</v>
      </c>
    </row>
    <row r="193" spans="1:9" x14ac:dyDescent="0.35">
      <c r="A193">
        <v>1.70396250000339</v>
      </c>
      <c r="B193" t="s">
        <v>54</v>
      </c>
      <c r="C193">
        <v>10</v>
      </c>
      <c r="G193">
        <v>2.35021410000626</v>
      </c>
      <c r="H193" t="s">
        <v>54</v>
      </c>
      <c r="I193">
        <v>10</v>
      </c>
    </row>
    <row r="194" spans="1:9" x14ac:dyDescent="0.35">
      <c r="A194">
        <v>2.0475361999997399</v>
      </c>
      <c r="B194" t="s">
        <v>54</v>
      </c>
      <c r="C194">
        <v>10</v>
      </c>
      <c r="G194">
        <v>1.54122610000194</v>
      </c>
      <c r="H194" t="s">
        <v>54</v>
      </c>
      <c r="I194">
        <v>10</v>
      </c>
    </row>
    <row r="195" spans="1:9" x14ac:dyDescent="0.35">
      <c r="A195">
        <v>1.45628099999157</v>
      </c>
      <c r="B195" t="s">
        <v>54</v>
      </c>
      <c r="C195">
        <v>10</v>
      </c>
      <c r="G195">
        <v>3.07260690000839</v>
      </c>
      <c r="H195" t="s">
        <v>54</v>
      </c>
      <c r="I195">
        <v>10</v>
      </c>
    </row>
    <row r="196" spans="1:9" x14ac:dyDescent="0.35">
      <c r="A196">
        <v>2.35021410000626</v>
      </c>
      <c r="B196" t="s">
        <v>54</v>
      </c>
      <c r="C196">
        <v>10</v>
      </c>
      <c r="G196">
        <v>2.2157619000063198</v>
      </c>
      <c r="H196" t="s">
        <v>54</v>
      </c>
      <c r="I196">
        <v>10</v>
      </c>
    </row>
    <row r="197" spans="1:9" x14ac:dyDescent="0.35">
      <c r="A197">
        <v>1.54122610000194</v>
      </c>
      <c r="B197" t="s">
        <v>54</v>
      </c>
      <c r="C197">
        <v>10</v>
      </c>
      <c r="G197">
        <v>2.2578218999842599</v>
      </c>
      <c r="H197" t="s">
        <v>54</v>
      </c>
      <c r="I197">
        <v>10</v>
      </c>
    </row>
    <row r="198" spans="1:9" x14ac:dyDescent="0.35">
      <c r="A198">
        <v>3.07260690000839</v>
      </c>
      <c r="B198" t="s">
        <v>54</v>
      </c>
      <c r="C198">
        <v>10</v>
      </c>
      <c r="G198">
        <v>2.1220442999910998</v>
      </c>
      <c r="H198" t="s">
        <v>54</v>
      </c>
      <c r="I198">
        <v>10</v>
      </c>
    </row>
    <row r="199" spans="1:9" x14ac:dyDescent="0.35">
      <c r="A199">
        <v>2.2157619000063198</v>
      </c>
      <c r="B199" t="s">
        <v>54</v>
      </c>
      <c r="C199">
        <v>10</v>
      </c>
      <c r="G199">
        <v>1.32651370001258</v>
      </c>
      <c r="H199" t="s">
        <v>54</v>
      </c>
      <c r="I199">
        <v>10</v>
      </c>
    </row>
    <row r="200" spans="1:9" x14ac:dyDescent="0.35">
      <c r="A200">
        <v>2.2578218999842599</v>
      </c>
      <c r="B200" t="s">
        <v>54</v>
      </c>
      <c r="C200">
        <v>10</v>
      </c>
    </row>
    <row r="201" spans="1:9" x14ac:dyDescent="0.35">
      <c r="A201">
        <v>2.1220442999910998</v>
      </c>
      <c r="B201" t="s">
        <v>54</v>
      </c>
      <c r="C201">
        <v>10</v>
      </c>
    </row>
    <row r="202" spans="1:9" x14ac:dyDescent="0.35">
      <c r="A202">
        <v>1.32651370001258</v>
      </c>
      <c r="B202" t="s">
        <v>54</v>
      </c>
      <c r="C202">
        <v>10</v>
      </c>
    </row>
  </sheetData>
  <sortState xmlns:xlrd2="http://schemas.microsoft.com/office/spreadsheetml/2017/richdata2" ref="A3:C202">
    <sortCondition ref="C3:C20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P4_VST_2025-09-28_18h35.43.335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Ritika Gilda</cp:lastModifiedBy>
  <dcterms:created xsi:type="dcterms:W3CDTF">2025-09-29T11:36:49Z</dcterms:created>
  <dcterms:modified xsi:type="dcterms:W3CDTF">2025-09-30T07:04:36Z</dcterms:modified>
</cp:coreProperties>
</file>